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iddh\Downloads\"/>
    </mc:Choice>
  </mc:AlternateContent>
  <xr:revisionPtr revIDLastSave="0" documentId="8_{BD291811-DBB1-4EAF-8266-2D69E936CA5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📋 Cover Page" sheetId="1" r:id="rId1"/>
    <sheet name="📈 Weekly Stock Performance" sheetId="2" r:id="rId2"/>
    <sheet name="📊 3-Year Financial Data" sheetId="3" r:id="rId3"/>
    <sheet name="🔢 Ratio Analysis" sheetId="4" r:id="rId4"/>
    <sheet name="⚖️ Comparative Analysis" sheetId="5" r:id="rId5"/>
    <sheet name="🔍 SWOT Analysis" sheetId="6" r:id="rId6"/>
    <sheet name="🔮 Future Aspects" sheetId="7" r:id="rId7"/>
    <sheet name="📉 Charts Dashboard" sheetId="8" r:id="rId8"/>
  </sheet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5" i="5" l="1"/>
  <c r="C15" i="5"/>
  <c r="G27" i="3"/>
  <c r="F27" i="3"/>
  <c r="E27" i="3"/>
  <c r="G26" i="3"/>
  <c r="F26" i="3"/>
  <c r="E26" i="3"/>
  <c r="G25" i="3"/>
  <c r="F25" i="3"/>
  <c r="E25" i="3"/>
  <c r="G24" i="3"/>
  <c r="F24" i="3"/>
  <c r="E24" i="3"/>
  <c r="G23" i="3"/>
  <c r="F23" i="3"/>
  <c r="E23" i="3"/>
  <c r="G22" i="3"/>
  <c r="F22" i="3"/>
  <c r="E22" i="3"/>
  <c r="G21" i="3"/>
  <c r="F21" i="3"/>
  <c r="E21" i="3"/>
  <c r="G20" i="3"/>
  <c r="F20" i="3"/>
  <c r="E20" i="3"/>
  <c r="G19" i="3"/>
  <c r="F19" i="3"/>
  <c r="E19" i="3"/>
  <c r="F13" i="3"/>
  <c r="G12" i="3"/>
  <c r="F12" i="3"/>
  <c r="E12" i="3"/>
  <c r="G11" i="3"/>
  <c r="F11" i="3"/>
  <c r="E11" i="3"/>
  <c r="F10" i="3"/>
  <c r="G9" i="3"/>
  <c r="F9" i="3"/>
  <c r="E9" i="3"/>
  <c r="F8" i="3"/>
  <c r="G7" i="3"/>
  <c r="F7" i="3"/>
  <c r="E7" i="3"/>
  <c r="G6" i="3"/>
  <c r="F6" i="3"/>
  <c r="E6" i="3"/>
  <c r="G5" i="3"/>
  <c r="F5" i="3"/>
  <c r="E5" i="3"/>
  <c r="N11" i="2"/>
  <c r="M11" i="2"/>
  <c r="L11" i="2"/>
  <c r="K11" i="2"/>
  <c r="J11" i="2"/>
  <c r="G11" i="2"/>
  <c r="F11" i="2"/>
  <c r="E11" i="2"/>
  <c r="D11" i="2"/>
  <c r="C11" i="2"/>
  <c r="N9" i="2"/>
  <c r="G9" i="2"/>
  <c r="N8" i="2"/>
  <c r="G8" i="2"/>
  <c r="N7" i="2"/>
  <c r="G7" i="2"/>
  <c r="N6" i="2"/>
  <c r="G6" i="2"/>
  <c r="N5" i="2"/>
  <c r="G5" i="2"/>
</calcChain>
</file>

<file path=xl/sharedStrings.xml><?xml version="1.0" encoding="utf-8"?>
<sst xmlns="http://schemas.openxmlformats.org/spreadsheetml/2006/main" count="658" uniqueCount="497">
  <si>
    <t>FINANCIAL ANALYSIS REPORT</t>
  </si>
  <si>
    <t>Comparative Study: Tata Motors (TMCV) vs ICICI Prudential Life Insurance (ICICIPRULI)</t>
  </si>
  <si>
    <t>Prepared By:</t>
  </si>
  <si>
    <t>Course:</t>
  </si>
  <si>
    <t>B.Com (Hons)</t>
  </si>
  <si>
    <t>College:</t>
  </si>
  <si>
    <t>CGC University Mohali</t>
  </si>
  <si>
    <t>Subject:</t>
  </si>
  <si>
    <t>Financial Analysis / Accounts</t>
  </si>
  <si>
    <t>Report Date:</t>
  </si>
  <si>
    <t>April 20, 2026</t>
  </si>
  <si>
    <t>Data Period:</t>
  </si>
  <si>
    <t>Last 1 Week (Apr 14–20, 2026) + 3-Year Historical</t>
  </si>
  <si>
    <t>TABLE OF CONTENTS</t>
  </si>
  <si>
    <t>#</t>
  </si>
  <si>
    <t>Sheet Name</t>
  </si>
  <si>
    <t>Description</t>
  </si>
  <si>
    <t>Sheet Tab</t>
  </si>
  <si>
    <t>1</t>
  </si>
  <si>
    <t>Cover Page</t>
  </si>
  <si>
    <t>You are here</t>
  </si>
  <si>
    <t>Sheet 1</t>
  </si>
  <si>
    <t>2</t>
  </si>
  <si>
    <t>Weekly Stock Performance</t>
  </si>
  <si>
    <t>Apr 14–20, 2026 daily prices, volume, % change</t>
  </si>
  <si>
    <t>Sheet 2</t>
  </si>
  <si>
    <t>3</t>
  </si>
  <si>
    <t>3-Year Financial Data</t>
  </si>
  <si>
    <t>Revenue, Net Profit, Key Metrics FY22–FY24</t>
  </si>
  <si>
    <t>Sheet 3</t>
  </si>
  <si>
    <t>4</t>
  </si>
  <si>
    <t>Ratio Analysis</t>
  </si>
  <si>
    <t>Profitability, Liquidity, Valuation Ratios</t>
  </si>
  <si>
    <t>Sheet 4</t>
  </si>
  <si>
    <t>5</t>
  </si>
  <si>
    <t>Comparative Analysis</t>
  </si>
  <si>
    <t>Side-by-side comparison with scoring</t>
  </si>
  <si>
    <t>Sheet 5</t>
  </si>
  <si>
    <t>6</t>
  </si>
  <si>
    <t>SWOT Analysis</t>
  </si>
  <si>
    <t>Strengths, Weaknesses, Opportunities, Threats</t>
  </si>
  <si>
    <t>Sheet 6</t>
  </si>
  <si>
    <t>7</t>
  </si>
  <si>
    <t>Future Aspects</t>
  </si>
  <si>
    <t>Outlook, Targets, Analyst Views</t>
  </si>
  <si>
    <t>Sheet 7</t>
  </si>
  <si>
    <t>8</t>
  </si>
  <si>
    <t>Charts Dashboard</t>
  </si>
  <si>
    <t>Visual charts for all key data</t>
  </si>
  <si>
    <t>Sheet 8</t>
  </si>
  <si>
    <t>Sources: NSE India, BSE India, Company Filings (SEBI), Screener.in, TickerTape.in | Report prepared for academic purposes</t>
  </si>
  <si>
    <t>WEEKLY STOCK PERFORMANCE  |  April 14–20, 2026</t>
  </si>
  <si>
    <t>🚗  TATA MOTORS (NSE: TMCV)</t>
  </si>
  <si>
    <t>🛡️  ICICI PRUDENTIAL (NSE: ICICIPRULI)</t>
  </si>
  <si>
    <t>Date</t>
  </si>
  <si>
    <t>Open (₹)</t>
  </si>
  <si>
    <t>High (₹)</t>
  </si>
  <si>
    <t>Low (₹)</t>
  </si>
  <si>
    <t>Close (₹)</t>
  </si>
  <si>
    <t>Change (%)</t>
  </si>
  <si>
    <t>Mon, Apr 14</t>
  </si>
  <si>
    <t>Tue, Apr 15</t>
  </si>
  <si>
    <t>Wed, Apr 16</t>
  </si>
  <si>
    <t>Thu, Apr 17</t>
  </si>
  <si>
    <t>Fri, Apr 18</t>
  </si>
  <si>
    <t>Mon, Apr 20</t>
  </si>
  <si>
    <t>Weekly Summary</t>
  </si>
  <si>
    <t>Week Open</t>
  </si>
  <si>
    <t>Week High</t>
  </si>
  <si>
    <t>Week Low</t>
  </si>
  <si>
    <t>Week Close</t>
  </si>
  <si>
    <t>Wk % Chg</t>
  </si>
  <si>
    <t>TMCV</t>
  </si>
  <si>
    <t>ICICIPRULI</t>
  </si>
  <si>
    <t>KEY MARKET STATS (as of Apr 20, 2026)</t>
  </si>
  <si>
    <t>Market Cap (₹ Cr)</t>
  </si>
  <si>
    <t>1,60,715</t>
  </si>
  <si>
    <t>82,031</t>
  </si>
  <si>
    <t>52-Week High (₹)</t>
  </si>
  <si>
    <t>509.00</t>
  </si>
  <si>
    <t>706.80</t>
  </si>
  <si>
    <t>52-Week Low (₹)</t>
  </si>
  <si>
    <t>306.30</t>
  </si>
  <si>
    <t>491.45</t>
  </si>
  <si>
    <t>P/E Ratio</t>
  </si>
  <si>
    <t>68.19</t>
  </si>
  <si>
    <t>51.00</t>
  </si>
  <si>
    <t>P/B Ratio</t>
  </si>
  <si>
    <t>15.48</t>
  </si>
  <si>
    <t>6.30</t>
  </si>
  <si>
    <t>EPS (₹)</t>
  </si>
  <si>
    <t>6.45</t>
  </si>
  <si>
    <t>11.09</t>
  </si>
  <si>
    <t>Promoter Holding (%)</t>
  </si>
  <si>
    <t>42.6%</t>
  </si>
  <si>
    <t>51.3%</t>
  </si>
  <si>
    <t>Beta</t>
  </si>
  <si>
    <t>~1.2</t>
  </si>
  <si>
    <t>~0.85</t>
  </si>
  <si>
    <t>📌 Key Event: ICICI Prudential released Q4 FY26 results on Apr 14-15. Net profit surged +61.96% YoY to ₹623.91 Cr — drove stock up ~5% on Apr 15.</t>
  </si>
  <si>
    <t>📌 Key Event: Tata Motors Q4 FY26 results expected May 5, 2026. Stock remained range-bound ₹429–445 this week amid global market uncertainty.</t>
  </si>
  <si>
    <t>3-YEAR HISTORICAL FINANCIAL DATA  |  FY 2021-22 to FY 2023-24  (₹ in Crores)</t>
  </si>
  <si>
    <t>🚗  TATA MOTORS — Income Statement &amp; Key Metrics</t>
  </si>
  <si>
    <t>Metric</t>
  </si>
  <si>
    <t>FY 2021-22</t>
  </si>
  <si>
    <t>FY 2022-23</t>
  </si>
  <si>
    <t>FY 2023-24</t>
  </si>
  <si>
    <t>YoY Change (FY23)</t>
  </si>
  <si>
    <t>YoY Change (FY24)</t>
  </si>
  <si>
    <t>3-Yr CAGR</t>
  </si>
  <si>
    <t>Notes</t>
  </si>
  <si>
    <t>Revenue from Ops (₹ Cr)</t>
  </si>
  <si>
    <t>Strong growth driven by JLR recovery</t>
  </si>
  <si>
    <t>EBITDA (₹ Cr)</t>
  </si>
  <si>
    <t>Improving operational efficiency</t>
  </si>
  <si>
    <t>EBIT (₹ Cr)</t>
  </si>
  <si>
    <t>Net Profit / (Loss) (₹ Cr)</t>
  </si>
  <si>
    <t>N/A (Loss)</t>
  </si>
  <si>
    <t>N/A</t>
  </si>
  <si>
    <t>Remarkable turnaround</t>
  </si>
  <si>
    <t>Total Expenses (₹ Cr)</t>
  </si>
  <si>
    <t>Total Assets (₹ Cr)</t>
  </si>
  <si>
    <t>Total Debt (₹ Cr)</t>
  </si>
  <si>
    <t>Successful deleveraging</t>
  </si>
  <si>
    <t>Free Cash Flow (₹ Cr)</t>
  </si>
  <si>
    <t>Strong FCF generation</t>
  </si>
  <si>
    <t>Dividend per Share (₹)</t>
  </si>
  <si>
    <t>First dividend after turnaround</t>
  </si>
  <si>
    <t>🛡️  ICICI PRUDENTIAL LIFE INSURANCE — Income Statement &amp; Key Metrics</t>
  </si>
  <si>
    <t>Total Premium Income (₹ Cr)</t>
  </si>
  <si>
    <t>Steady linear growth</t>
  </si>
  <si>
    <t>Net Profit (₹ Cr)</t>
  </si>
  <si>
    <t>Consistent profitability</t>
  </si>
  <si>
    <t>VNB (Value of New Biz ₹ Cr)</t>
  </si>
  <si>
    <t>Key insurance metric</t>
  </si>
  <si>
    <t>New Business Premium (₹ Cr)</t>
  </si>
  <si>
    <t>AUM (₹ Cr)</t>
  </si>
  <si>
    <t>Assets under management</t>
  </si>
  <si>
    <t>Growing dividend</t>
  </si>
  <si>
    <t>Claim Settlement Ratio (%)</t>
  </si>
  <si>
    <t>Industry-leading ratio</t>
  </si>
  <si>
    <t>📌 LATEST (Q4 FY26 — Apr 2026): ICICI Pru Net Profit ₹623.91 Cr (+61.96% YoY). Tata Motors CV: 1,32,465 units in Q4 FY26 (+25% YoY). Tata Motors Q4 FY26 full results due May 5, 2026.</t>
  </si>
  <si>
    <t>RATIO ANALYSIS  |  FY 2021-22 to FY 2023-24  +  Current (Apr 2026)</t>
  </si>
  <si>
    <t>🚗 TATA MOTORS — Ratio Analysis</t>
  </si>
  <si>
    <t>Ratio Category</t>
  </si>
  <si>
    <t>Ratio Name</t>
  </si>
  <si>
    <t>Formula</t>
  </si>
  <si>
    <t>FY22</t>
  </si>
  <si>
    <t>FY23</t>
  </si>
  <si>
    <t>FY24</t>
  </si>
  <si>
    <t>Current*</t>
  </si>
  <si>
    <t>Benchmark</t>
  </si>
  <si>
    <t>Trend</t>
  </si>
  <si>
    <t>Interpretation</t>
  </si>
  <si>
    <t>Profitability</t>
  </si>
  <si>
    <t>Net Profit Margin (%)</t>
  </si>
  <si>
    <t>Net Profit/Revenue</t>
  </si>
  <si>
    <t>&gt;5%</t>
  </si>
  <si>
    <t>⬆ Strong</t>
  </si>
  <si>
    <t>Remarkable turnaround; now industry-competitive</t>
  </si>
  <si>
    <t>EBITDA Margin (%)</t>
  </si>
  <si>
    <t>EBITDA/Revenue</t>
  </si>
  <si>
    <t>&gt;12%</t>
  </si>
  <si>
    <t>Margin expansion driven by JLR &amp; EV premiumization</t>
  </si>
  <si>
    <t>ROE (%)</t>
  </si>
  <si>
    <t>Net Profit/Equity</t>
  </si>
  <si>
    <t>&gt;15%</t>
  </si>
  <si>
    <t>Equity now delivering strong returns</t>
  </si>
  <si>
    <t>ROCE (%)</t>
  </si>
  <si>
    <t>EBIT/(CE)</t>
  </si>
  <si>
    <t>&gt;10%</t>
  </si>
  <si>
    <t>Improving capital efficiency</t>
  </si>
  <si>
    <t>Liquidity</t>
  </si>
  <si>
    <t>Current Ratio</t>
  </si>
  <si>
    <t>CA/CL</t>
  </si>
  <si>
    <t>&gt;1.0</t>
  </si>
  <si>
    <t>⬆ Stable</t>
  </si>
  <si>
    <t>Improving; crossed comfortable threshold</t>
  </si>
  <si>
    <t>Quick Ratio</t>
  </si>
  <si>
    <t>(CA-Inventory)/CL</t>
  </si>
  <si>
    <t>&gt;0.75</t>
  </si>
  <si>
    <t>Strengthening short-term position</t>
  </si>
  <si>
    <t>Leverage</t>
  </si>
  <si>
    <t>Debt-to-Equity</t>
  </si>
  <si>
    <t>Total Debt/Equity</t>
  </si>
  <si>
    <t>&lt;1.5</t>
  </si>
  <si>
    <t>⬇ Positive</t>
  </si>
  <si>
    <t>Active deleveraging is key positive catalyst</t>
  </si>
  <si>
    <t>Interest Coverage</t>
  </si>
  <si>
    <t>EBIT/Interest Exp</t>
  </si>
  <si>
    <t>&gt;3.0</t>
  </si>
  <si>
    <t>Now safely covers debt obligations</t>
  </si>
  <si>
    <t>Valuation</t>
  </si>
  <si>
    <t>Market Price/EPS</t>
  </si>
  <si>
    <t>-</t>
  </si>
  <si>
    <t>15-30x</t>
  </si>
  <si>
    <t>⬆ High</t>
  </si>
  <si>
    <t>Trading at high multiple; growth premium</t>
  </si>
  <si>
    <t>EV/EBITDA</t>
  </si>
  <si>
    <t>8-12x</t>
  </si>
  <si>
    <t>✓ Fair</t>
  </si>
  <si>
    <t>Fairly valued on this metric</t>
  </si>
  <si>
    <t>Efficiency</t>
  </si>
  <si>
    <t>Asset Turnover</t>
  </si>
  <si>
    <t>Revenue/Total Assets</t>
  </si>
  <si>
    <t>&gt;0.7</t>
  </si>
  <si>
    <t>⬆ Good</t>
  </si>
  <si>
    <t>Improving asset utilization</t>
  </si>
  <si>
    <t>🛡️ ICICI PRUDENTIAL — Ratio Analysis</t>
  </si>
  <si>
    <t>PAT/Total Income</t>
  </si>
  <si>
    <t>&gt;0.8%</t>
  </si>
  <si>
    <t>✓ Stable</t>
  </si>
  <si>
    <t>Low but typical for insurance sector</t>
  </si>
  <si>
    <t>VNB Margin (%)</t>
  </si>
  <si>
    <t>VNB/APE</t>
  </si>
  <si>
    <t>&gt;25%</t>
  </si>
  <si>
    <t>Best indicator of insurance quality</t>
  </si>
  <si>
    <t>PAT/Net Worth</t>
  </si>
  <si>
    <t>Steady and improving equity returns</t>
  </si>
  <si>
    <t>Return on AUM (%)</t>
  </si>
  <si>
    <t>PAT/AUM</t>
  </si>
  <si>
    <t>&gt;0.2%</t>
  </si>
  <si>
    <t>Stable returns on managed assets</t>
  </si>
  <si>
    <t>Insurance</t>
  </si>
  <si>
    <t>Solvency Ratio (%)</t>
  </si>
  <si>
    <t>Available Cap/Required</t>
  </si>
  <si>
    <t>&gt;150%</t>
  </si>
  <si>
    <t>✓ Strong</t>
  </si>
  <si>
    <t>Well above 150% regulatory minimum</t>
  </si>
  <si>
    <t>Claims Settlement (%)</t>
  </si>
  <si>
    <t>Claims Settled/Filed</t>
  </si>
  <si>
    <t>&gt;95%</t>
  </si>
  <si>
    <t>Industry-leading claim settlement</t>
  </si>
  <si>
    <t>Expense Ratio (%)</t>
  </si>
  <si>
    <t>Expenses/Premium</t>
  </si>
  <si>
    <t>&lt;25%</t>
  </si>
  <si>
    <t>⬇ Good</t>
  </si>
  <si>
    <t>Declining costs improving efficiency</t>
  </si>
  <si>
    <t>Persistency Ratio 13M</t>
  </si>
  <si>
    <t>% policies active 13M</t>
  </si>
  <si>
    <t>&gt;85%</t>
  </si>
  <si>
    <t>High policy retention</t>
  </si>
  <si>
    <t>40-70x</t>
  </si>
  <si>
    <t>Attractive valuation post correction</t>
  </si>
  <si>
    <t>P/BV Ratio</t>
  </si>
  <si>
    <t>Market Price/BV</t>
  </si>
  <si>
    <t>4-8x</t>
  </si>
  <si>
    <t>Reasonably valued</t>
  </si>
  <si>
    <t>* Current ratios as of April 20, 2026. Sources: NSE/BSE, Company Q4 FY26 filings, TickerTape, Screener.in</t>
  </si>
  <si>
    <t>COMPARATIVE ANALYSIS  |  Tata Motors vs ICICI Prudential</t>
  </si>
  <si>
    <t>Parameter</t>
  </si>
  <si>
    <t>Tata Motors (TMCV)</t>
  </si>
  <si>
    <t>Score /10</t>
  </si>
  <si>
    <t>ICICI Prudential</t>
  </si>
  <si>
    <t>Winner</t>
  </si>
  <si>
    <t>Analysis</t>
  </si>
  <si>
    <t>Revenue Growth (3Y CAGR)</t>
  </si>
  <si>
    <t>20%+ CAGR</t>
  </si>
  <si>
    <t>8-10% CAGR</t>
  </si>
  <si>
    <t>Tata Motors 🏆</t>
  </si>
  <si>
    <t>Tata far outpaces on top-line growth</t>
  </si>
  <si>
    <t>Turned profitable; 7.26% margin</t>
  </si>
  <si>
    <t>Steady ~1% margin</t>
  </si>
  <si>
    <t>Margins comparable after turnaround</t>
  </si>
  <si>
    <t>Debt Level</t>
  </si>
  <si>
    <t>High but reducing D/E: 1.4</t>
  </si>
  <si>
    <t>Low D/E: 0.19</t>
  </si>
  <si>
    <t>ICICI Pru 🏆</t>
  </si>
  <si>
    <t>ICICI carries minimal debt risk</t>
  </si>
  <si>
    <t>Financial Stability</t>
  </si>
  <si>
    <t>Volatile; recovery phase</t>
  </si>
  <si>
    <t>Consistent profits; stable</t>
  </si>
  <si>
    <t>Insurance model is inherently more stable</t>
  </si>
  <si>
    <t>Q4 FY26 Performance</t>
  </si>
  <si>
    <t>Q4 results due May 5, 2026</t>
  </si>
  <si>
    <t>+61.96% profit growth</t>
  </si>
  <si>
    <t>ICICI delivered strong quarterly beat</t>
  </si>
  <si>
    <t>Risk Profile</t>
  </si>
  <si>
    <t>High — global exposure, EV</t>
  </si>
  <si>
    <t>Low-medium — interest rate risk</t>
  </si>
  <si>
    <t>Auto sector cyclicality vs. steady insurance</t>
  </si>
  <si>
    <t>Growth Potential (EV/Tech)</t>
  </si>
  <si>
    <t>Very High — EV + JLR</t>
  </si>
  <si>
    <t>Moderate — digital insurance</t>
  </si>
  <si>
    <t>EV revolution = massive tailwind</t>
  </si>
  <si>
    <t>Valuation (Attractiveness)</t>
  </si>
  <si>
    <t>P/E 68x — slightly expensive</t>
  </si>
  <si>
    <t>P/E 51x — attractive</t>
  </si>
  <si>
    <t>ICICI offers better value currently</t>
  </si>
  <si>
    <t>Dividend / Income</t>
  </si>
  <si>
    <t>₹3/share (first time)</t>
  </si>
  <si>
    <t>₹0.85/share consistent</t>
  </si>
  <si>
    <t>ICICI more reliable income generator</t>
  </si>
  <si>
    <t>Management Quality</t>
  </si>
  <si>
    <t>Turnaround story; Tata brand</t>
  </si>
  <si>
    <t>Stable management; IRDAI compliant</t>
  </si>
  <si>
    <t>Tie 🤝</t>
  </si>
  <si>
    <t>Both have strong leadership</t>
  </si>
  <si>
    <t>ESG / Sustainability</t>
  </si>
  <si>
    <t>Net Zero target; EV leader</t>
  </si>
  <si>
    <t>Social mission; rural coverage</t>
  </si>
  <si>
    <t>EV-first = strong ESG credentials</t>
  </si>
  <si>
    <t>Regulatory Risk</t>
  </si>
  <si>
    <t>Moderate (GST, emission norms)</t>
  </si>
  <si>
    <t>Higher IRDAI exposure</t>
  </si>
  <si>
    <t>Both face sector-specific regulatory changes</t>
  </si>
  <si>
    <t>TOTAL SCORE</t>
  </si>
  <si>
    <t>See verdict below ↓</t>
  </si>
  <si>
    <t>INVESTMENT VERDICT</t>
  </si>
  <si>
    <t>🚗 TATA MOTORS
GROWTH PICK — For investors with high risk tolerance seeking capital appreciation.
EV + JLR recovery = powerful long-term story. Stock down 38% from peak = entry opportunity.</t>
  </si>
  <si>
    <t>VS</t>
  </si>
  <si>
    <t>🛡️ ICICI PRUDENTIAL
STABILITY PICK — For conservative investors seeking consistent returns.
Strong Q4 FY26 results (+61.96% profit), low debt, attractive valuation at P/E 51x.</t>
  </si>
  <si>
    <t>SWOT ANALYSIS  |  Tata Motors vs ICICI Prudential Life Insurance</t>
  </si>
  <si>
    <t>🚗  TATA MOTORS — SWOT ANALYSIS</t>
  </si>
  <si>
    <t>STRENGTHS 💪</t>
  </si>
  <si>
    <t>WEAKNESSES ⚠️</t>
  </si>
  <si>
    <t>• Market leader in Indian EV space (~13% share)</t>
  </si>
  <si>
    <t>• Still elevated D/E ratio of 1.4x vs peers</t>
  </si>
  <si>
    <t>• Jaguar Land Rover — premium global brand</t>
  </si>
  <si>
    <t>• JLR dependency — 60%+ of revenue</t>
  </si>
  <si>
    <t>• Strong Tata Group backing &amp; brand trust</t>
  </si>
  <si>
    <t>• Revenue fell 25.81% YoY in Q3 FY26</t>
  </si>
  <si>
    <t>• Diverse portfolio: CVs, PVs, EVs</t>
  </si>
  <si>
    <t>• PV net profit turned negative in Q3 FY26</t>
  </si>
  <si>
    <t>• 59% EV growth in FY26</t>
  </si>
  <si>
    <t>• High capex requirements for EV transition</t>
  </si>
  <si>
    <t>• Net debt-free target by FY25 on track</t>
  </si>
  <si>
    <t>• Exposure to volatile forex &amp; commodity prices</t>
  </si>
  <si>
    <t>• 17 new truck launches in FY26</t>
  </si>
  <si>
    <t>• Complex group structure post-demerger</t>
  </si>
  <si>
    <t>OPPORTUNITIES 🌟</t>
  </si>
  <si>
    <t>THREATS ⛔</t>
  </si>
  <si>
    <t>• India EV market growing 40%+ annually</t>
  </si>
  <si>
    <t>• Hyundai, M&amp;M gaining EV market share</t>
  </si>
  <si>
    <t>• EV charging infra expansion (govt support)</t>
  </si>
  <si>
    <t>• US tariffs on auto imports (JLR exposure)</t>
  </si>
  <si>
    <t>• Jaguar goes fully electric by 2025 (Range Rover EV)</t>
  </si>
  <si>
    <t>• Raw material inflation (lithium, steel)</t>
  </si>
  <si>
    <t>• CV market recovery with GST 2.0 implementation</t>
  </si>
  <si>
    <t>• Slowdown in luxury auto globally</t>
  </si>
  <si>
    <t>• Iveco acquisition to expand globally</t>
  </si>
  <si>
    <t>• Competition from BYD, Tesla in India</t>
  </si>
  <si>
    <t>• Defense vehicle contracts under Atmanirbhar</t>
  </si>
  <si>
    <t>• Emission norms tightening (cost burden)</t>
  </si>
  <si>
    <t>• US tariff uncertainty benefits domestic EV play</t>
  </si>
  <si>
    <t>• Currency risk: GBP/USD volatility for JLR</t>
  </si>
  <si>
    <t>🛡️  ICICI PRUDENTIAL — SWOT ANALYSIS</t>
  </si>
  <si>
    <t>• Strong brand backed by ICICI Bank distribution</t>
  </si>
  <si>
    <t>• Thin net profit margins (~1%)</t>
  </si>
  <si>
    <t>• 99.2% claim settlement ratio (industry-best)</t>
  </si>
  <si>
    <t>• High commission and distribution costs</t>
  </si>
  <si>
    <t>• Well-diversified product portfolio</t>
  </si>
  <si>
    <t>• Slow growth in traditional savings plans</t>
  </si>
  <si>
    <t>• Q4 FY26 profit surged +61.96% YoY</t>
  </si>
  <si>
    <t>• Dependence on ICICI Bank for distribution</t>
  </si>
  <si>
    <t>• Solvency ratio 203% (vs 150% minimum)</t>
  </si>
  <si>
    <t>• Stock down ~25% from 52-week high</t>
  </si>
  <si>
    <t>• Annualized premium income growth 8.53%</t>
  </si>
  <si>
    <t>• Limited geographic reach vs LIC</t>
  </si>
  <si>
    <t>• AUM crosses ₹3.12 lakh crore</t>
  </si>
  <si>
    <t>• Low dividend yield (0.16%)</t>
  </si>
  <si>
    <t>• India insurance penetration at 3.2% (vs 7% global avg)</t>
  </si>
  <si>
    <t>• IRDAI regulatory changes (product design)</t>
  </si>
  <si>
    <t>• Rural India — massive untapped market</t>
  </si>
  <si>
    <t>• Intense competition from LIC, HDFC Life, SBI Life</t>
  </si>
  <si>
    <t>• Digital-first term insurance growing rapidly</t>
  </si>
  <si>
    <t>• Interest rate risk on investment portfolio</t>
  </si>
  <si>
    <t>• Health insurance riders post-COVID boom</t>
  </si>
  <si>
    <t>• GST on insurance premiums debate</t>
  </si>
  <si>
    <t>• Fintech integration for policy distribution</t>
  </si>
  <si>
    <t>• Market volatility impacts ULIP returns</t>
  </si>
  <si>
    <t>• NPS and pension plan growth opportunity</t>
  </si>
  <si>
    <t>• Mortality experience changes</t>
  </si>
  <si>
    <t>• IRDAI's Bima Sugam platform to boost reach</t>
  </si>
  <si>
    <t>• Digital disruptors (insurtech startups)</t>
  </si>
  <si>
    <t>FUTURE ASPECTS &amp; ANALYST OUTLOOK  |  FY26–FY28</t>
  </si>
  <si>
    <t>🚗  TATA MOTORS — STRATEGIC ROADMAP &amp; ANALYST TARGETS</t>
  </si>
  <si>
    <t>Type</t>
  </si>
  <si>
    <t>Area / Target</t>
  </si>
  <si>
    <t>Details &amp; Status</t>
  </si>
  <si>
    <t>Target</t>
  </si>
  <si>
    <t>Become Net Debt Zero by FY25</t>
  </si>
  <si>
    <t>Status: On Track — deleveraged from ₹1.08L Cr to ₹62K Cr in 3 years</t>
  </si>
  <si>
    <t>Capture 30%+ Indian EV market share</t>
  </si>
  <si>
    <t>EV sales grew 59% in FY26; currently ~13% market share; strong pipeline</t>
  </si>
  <si>
    <t>JLR fully electric by 2025 (Range Rover EV)</t>
  </si>
  <si>
    <t>Launched first electric JLR; Defender EV in pipeline for FY27</t>
  </si>
  <si>
    <t>CV sales target: 5 lakh units by FY27</t>
  </si>
  <si>
    <t>FY26: 4.28L units (+14% YoY); Q4 FY26: 1.32L units (+25% YoY)</t>
  </si>
  <si>
    <t>Investor Day: June 23, 2026 (Mumbai)</t>
  </si>
  <si>
    <t>Major strategic update expected; focus on FY27-28 guidance</t>
  </si>
  <si>
    <t>Strategy</t>
  </si>
  <si>
    <t>Iveco acquisition (global CV expansion)</t>
  </si>
  <si>
    <t>Finalization expected Q1 FY27; pending regulatory approval</t>
  </si>
  <si>
    <t>17 new truck range (Azura series)</t>
  </si>
  <si>
    <t>Targeting international markets: SAARC, Middle East, North Africa</t>
  </si>
  <si>
    <t>Software-defined vehicles &amp; connected cars</t>
  </si>
  <si>
    <t>Future revenue stream; digital platform investments ongoing</t>
  </si>
  <si>
    <t>Risk</t>
  </si>
  <si>
    <t>US tariff impact on JLR profitability</t>
  </si>
  <si>
    <t>JLR has 40%+ exposure to US market; tariff uncertainty a key watch</t>
  </si>
  <si>
    <t>EV battery cost deflation timeline</t>
  </si>
  <si>
    <t>Competition intensifying; BYD, Tesla India plans advancing</t>
  </si>
  <si>
    <t>ANALYST PRICE TARGETS — TATA MOTORS (as of Apr 2026)</t>
  </si>
  <si>
    <t>Broker</t>
  </si>
  <si>
    <t>Rating</t>
  </si>
  <si>
    <t>Target Price (₹)</t>
  </si>
  <si>
    <t>Upside/Downside</t>
  </si>
  <si>
    <t>Key Thesis</t>
  </si>
  <si>
    <t>Morgan Stanley</t>
  </si>
  <si>
    <t>Equal-Weight</t>
  </si>
  <si>
    <t>₹550</t>
  </si>
  <si>
    <t>+25%</t>
  </si>
  <si>
    <t>JLR tariff risk offsets India CV recovery; wait for clarity</t>
  </si>
  <si>
    <t>Macquarie</t>
  </si>
  <si>
    <t>Outperform</t>
  </si>
  <si>
    <t>₹620</t>
  </si>
  <si>
    <t>+41%</t>
  </si>
  <si>
    <t>EV volume ramp + JLR margin recovery to drive re-rating</t>
  </si>
  <si>
    <t>CLSA</t>
  </si>
  <si>
    <t>Buy</t>
  </si>
  <si>
    <t>₹600</t>
  </si>
  <si>
    <t>+37%</t>
  </si>
  <si>
    <t>Demerger unlocks value; CV momentum strong</t>
  </si>
  <si>
    <t>Kotak Securities</t>
  </si>
  <si>
    <t>Add</t>
  </si>
  <si>
    <t>₹520</t>
  </si>
  <si>
    <t>+18%</t>
  </si>
  <si>
    <t>Strong Q4 CV volumes; PAT recovery expected in Q4 FY26</t>
  </si>
  <si>
    <t>Nomura</t>
  </si>
  <si>
    <t>Neutral</t>
  </si>
  <si>
    <t>₹465</t>
  </si>
  <si>
    <t>+6%</t>
  </si>
  <si>
    <t>Near-term macro headwinds; long-term EV story intact</t>
  </si>
  <si>
    <t>🛡️  ICICI PRUDENTIAL — STRATEGIC ROADMAP &amp; ANALYST TARGETS</t>
  </si>
  <si>
    <t>Double APE by FY27</t>
  </si>
  <si>
    <t>APE grew 8.53% in FY26; protection plan focus driving quality premium</t>
  </si>
  <si>
    <t>VNB margin 35%+ by FY28</t>
  </si>
  <si>
    <t>Currently at 32.5%; improving product mix toward protection</t>
  </si>
  <si>
    <t>1 crore policies in rural India by FY28</t>
  </si>
  <si>
    <t>IRDAI Bima Sugam + bancassurance to enable rural reach</t>
  </si>
  <si>
    <t>Digital claims settlement in 24 hrs</t>
  </si>
  <si>
    <t>AI-based claims processing already in pilot phase</t>
  </si>
  <si>
    <t>Term insurance push (Protection plans)</t>
  </si>
  <si>
    <t>Post-pandemic awareness driving demand; highest-margin product</t>
  </si>
  <si>
    <t>Health riders bundling strategy</t>
  </si>
  <si>
    <t>Adding health riders to existing policies — new revenue stream</t>
  </si>
  <si>
    <t>Bima Sugam integration</t>
  </si>
  <si>
    <t>IRDAI's unified insurance portal to be key distribution channel</t>
  </si>
  <si>
    <t>NPS + pension product expansion</t>
  </si>
  <si>
    <t>Aging India demographic = long-term growth opportunity</t>
  </si>
  <si>
    <t>IRDAI product regulation changes</t>
  </si>
  <si>
    <t>New surrender value norms and product design regulations</t>
  </si>
  <si>
    <t>Market downturn impact on ULIPs</t>
  </si>
  <si>
    <t>Equity market correction could impact ULIP persistency</t>
  </si>
  <si>
    <t>ANALYST PRICE TARGETS — ICICI PRUDENTIAL (as of Apr 2026)</t>
  </si>
  <si>
    <t>Citi</t>
  </si>
  <si>
    <t>₹650</t>
  </si>
  <si>
    <t>+16%</t>
  </si>
  <si>
    <t>Regulatory headwinds cap near-term upside; quality franchise</t>
  </si>
  <si>
    <t>₹749</t>
  </si>
  <si>
    <t>+33%</t>
  </si>
  <si>
    <t>Margin expansion + Q4 beat = re-rating trigger</t>
  </si>
  <si>
    <t>₹625</t>
  </si>
  <si>
    <t>+11%</t>
  </si>
  <si>
    <t>Mixed Q4 indicators; medium-term GST reform beneficial</t>
  </si>
  <si>
    <t>Investec</t>
  </si>
  <si>
    <t>₹900</t>
  </si>
  <si>
    <t>+60%</t>
  </si>
  <si>
    <t>Highest target — deep value; protection segment potential</t>
  </si>
  <si>
    <t>₹780</t>
  </si>
  <si>
    <t>+39%</t>
  </si>
  <si>
    <t>Strong VNB growth + solvency comfort = accumulate</t>
  </si>
  <si>
    <t>CHARTS DASHBOARD  |  Visual Financial Analysis</t>
  </si>
  <si>
    <t>Revenue (₹ Cr)</t>
  </si>
  <si>
    <t>Tata Motors</t>
  </si>
  <si>
    <t>ICICI Pru</t>
  </si>
  <si>
    <t>Weekly Prices</t>
  </si>
  <si>
    <t>Apr 14</t>
  </si>
  <si>
    <t>Apr 15</t>
  </si>
  <si>
    <t>Apr 16</t>
  </si>
  <si>
    <t>Apr 17</t>
  </si>
  <si>
    <t>Apr 18</t>
  </si>
  <si>
    <t>Apr 20</t>
  </si>
  <si>
    <t>Tata (₹)</t>
  </si>
  <si>
    <t>ICICI (₹)</t>
  </si>
  <si>
    <t>D/E Ratio</t>
  </si>
  <si>
    <t>Profit Margin %</t>
  </si>
  <si>
    <t>SCORE SUMMARY</t>
  </si>
  <si>
    <t>Company</t>
  </si>
  <si>
    <t>Score</t>
  </si>
  <si>
    <t>Max</t>
  </si>
  <si>
    <t>Grade</t>
  </si>
  <si>
    <t>120</t>
  </si>
  <si>
    <t>B+</t>
  </si>
  <si>
    <t>A-</t>
  </si>
  <si>
    <t>Siddharth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</si>
</sst>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+0.00%;\-0.00%;\-"/>
    <numFmt numFmtId="165" formatCode="#,##0;\(#,##0\);\-"/>
    <numFmt numFmtId="166" formatCode="\+0.0%;\-0.0%;\-"/>
  </numFmts>
  <fonts count="20" x14ac:knownFonts="1">
    <font>
      <sz val="11"/>
      <color theme="1"/>
      <name val="Calibri"/>
      <family val="2"/>
      <charset val="1"/>
    </font>
    <font>
      <b/>
      <sz val="22"/>
      <color rgb="FFFFFFFF"/>
      <name val="Arial"/>
      <charset val="1"/>
    </font>
    <font>
      <b/>
      <sz val="13"/>
      <color rgb="FFFFFFFF"/>
      <name val="Arial"/>
      <charset val="1"/>
    </font>
    <font>
      <b/>
      <sz val="11"/>
      <color rgb="FF000000"/>
      <name val="Arial"/>
      <charset val="1"/>
    </font>
    <font>
      <sz val="11"/>
      <color rgb="FF000000"/>
      <name val="Arial"/>
      <charset val="1"/>
    </font>
    <font>
      <b/>
      <sz val="12"/>
      <color rgb="FFFFFFFF"/>
      <name val="Arial"/>
      <charset val="1"/>
    </font>
    <font>
      <b/>
      <sz val="10"/>
      <color rgb="FF000000"/>
      <name val="Arial"/>
      <charset val="1"/>
    </font>
    <font>
      <b/>
      <sz val="10"/>
      <color rgb="FF2E75B6"/>
      <name val="Arial"/>
      <charset val="1"/>
    </font>
    <font>
      <sz val="10"/>
      <color rgb="FF000000"/>
      <name val="Arial"/>
      <charset val="1"/>
    </font>
    <font>
      <sz val="10"/>
      <color rgb="FF595959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b/>
      <i/>
      <sz val="9"/>
      <color rgb="FF1F6B5E"/>
      <name val="Arial"/>
      <charset val="1"/>
    </font>
    <font>
      <b/>
      <i/>
      <sz val="9"/>
      <color rgb="FFC55A11"/>
      <name val="Arial"/>
      <charset val="1"/>
    </font>
    <font>
      <b/>
      <i/>
      <sz val="9"/>
      <color rgb="FF1F3864"/>
      <name val="Arial"/>
      <charset val="1"/>
    </font>
    <font>
      <b/>
      <sz val="9"/>
      <color rgb="FFFFFFFF"/>
      <name val="Arial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  <font>
      <sz val="9"/>
      <color rgb="FF595959"/>
      <name val="Arial"/>
      <charset val="1"/>
    </font>
    <font>
      <b/>
      <sz val="24"/>
      <color rgb="FF1F3864"/>
      <name val="Arial"/>
      <charset val="1"/>
    </font>
  </fonts>
  <fills count="19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1F3864"/>
        <bgColor rgb="FF375623"/>
      </patternFill>
    </fill>
    <fill>
      <patternFill patternType="solid">
        <fgColor rgb="FF2E75B6"/>
        <bgColor rgb="FF0066CC"/>
      </patternFill>
    </fill>
    <fill>
      <patternFill patternType="solid">
        <fgColor rgb="FFC55A11"/>
        <bgColor rgb="FF7F6000"/>
      </patternFill>
    </fill>
    <fill>
      <patternFill patternType="solid">
        <fgColor rgb="FFBDD7EE"/>
        <bgColor rgb="FFD9D9D9"/>
      </patternFill>
    </fill>
    <fill>
      <patternFill patternType="solid">
        <fgColor rgb="FFF2F2F2"/>
        <bgColor rgb="FFF7F9FC"/>
      </patternFill>
    </fill>
    <fill>
      <patternFill patternType="solid">
        <fgColor rgb="FFFFFFFF"/>
        <bgColor rgb="FFF7F9FC"/>
      </patternFill>
    </fill>
    <fill>
      <patternFill patternType="solid">
        <fgColor rgb="FF1F6B5E"/>
        <bgColor rgb="FF008080"/>
      </patternFill>
    </fill>
    <fill>
      <patternFill patternType="solid">
        <fgColor rgb="FFA9D18E"/>
        <bgColor rgb="FFBFBFBF"/>
      </patternFill>
    </fill>
    <fill>
      <patternFill patternType="solid">
        <fgColor rgb="FFF4B183"/>
        <bgColor rgb="FFF59240"/>
      </patternFill>
    </fill>
    <fill>
      <patternFill patternType="solid">
        <fgColor rgb="FFE2EFDA"/>
        <bgColor rgb="FFDEEAF1"/>
      </patternFill>
    </fill>
    <fill>
      <patternFill patternType="solid">
        <fgColor rgb="FFFCE4D6"/>
        <bgColor rgb="FFFFF2CC"/>
      </patternFill>
    </fill>
    <fill>
      <patternFill patternType="solid">
        <fgColor rgb="FFDEEAF1"/>
        <bgColor rgb="FFE2EFDA"/>
      </patternFill>
    </fill>
    <fill>
      <patternFill patternType="solid">
        <fgColor rgb="FF375623"/>
        <bgColor rgb="FF595959"/>
      </patternFill>
    </fill>
    <fill>
      <patternFill patternType="solid">
        <fgColor rgb="FF843C0C"/>
        <bgColor rgb="FF7F6000"/>
      </patternFill>
    </fill>
    <fill>
      <patternFill patternType="solid">
        <fgColor rgb="FF7F6000"/>
        <bgColor rgb="FF843C0C"/>
      </patternFill>
    </fill>
    <fill>
      <patternFill patternType="solid">
        <fgColor rgb="FFFFF2CC"/>
        <b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10" fillId="7" borderId="0" xfId="0" applyFont="1" applyFill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0" fillId="5" borderId="0" xfId="0" applyFill="1"/>
    <xf numFmtId="0" fontId="2" fillId="4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2" borderId="0" xfId="0" applyFill="1"/>
    <xf numFmtId="0" fontId="5" fillId="4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4" fontId="8" fillId="7" borderId="1" xfId="0" applyNumberFormat="1" applyFont="1" applyFill="1" applyBorder="1" applyAlignment="1">
      <alignment horizontal="center" vertical="center" wrapText="1"/>
    </xf>
    <xf numFmtId="164" fontId="8" fillId="7" borderId="1" xfId="0" applyNumberFormat="1" applyFont="1" applyFill="1" applyBorder="1" applyAlignment="1">
      <alignment horizontal="center" vertical="center"/>
    </xf>
    <xf numFmtId="164" fontId="8" fillId="7" borderId="1" xfId="0" applyNumberFormat="1" applyFont="1" applyFill="1" applyBorder="1" applyAlignment="1">
      <alignment horizontal="center" vertical="center" wrapText="1"/>
    </xf>
    <xf numFmtId="4" fontId="8" fillId="8" borderId="1" xfId="0" applyNumberFormat="1" applyFont="1" applyFill="1" applyBorder="1" applyAlignment="1">
      <alignment horizontal="center" vertical="center" wrapText="1"/>
    </xf>
    <xf numFmtId="164" fontId="8" fillId="8" borderId="1" xfId="0" applyNumberFormat="1" applyFont="1" applyFill="1" applyBorder="1" applyAlignment="1">
      <alignment horizontal="center" vertical="center"/>
    </xf>
    <xf numFmtId="164" fontId="8" fillId="8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4" fontId="0" fillId="11" borderId="1" xfId="0" applyNumberFormat="1" applyFill="1" applyBorder="1" applyAlignment="1">
      <alignment horizontal="center" vertical="center" wrapText="1"/>
    </xf>
    <xf numFmtId="164" fontId="6" fillId="11" borderId="1" xfId="0" applyNumberFormat="1" applyFont="1" applyFill="1" applyBorder="1" applyAlignment="1">
      <alignment horizontal="center" vertical="center" wrapText="1"/>
    </xf>
    <xf numFmtId="4" fontId="8" fillId="10" borderId="1" xfId="0" applyNumberFormat="1" applyFont="1" applyFill="1" applyBorder="1" applyAlignment="1">
      <alignment horizontal="center" vertical="center" wrapText="1"/>
    </xf>
    <xf numFmtId="164" fontId="6" fillId="10" borderId="1" xfId="0" applyNumberFormat="1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center" vertical="center" wrapText="1"/>
    </xf>
    <xf numFmtId="165" fontId="8" fillId="7" borderId="1" xfId="0" applyNumberFormat="1" applyFont="1" applyFill="1" applyBorder="1" applyAlignment="1">
      <alignment horizontal="center" vertical="center" wrapText="1"/>
    </xf>
    <xf numFmtId="166" fontId="8" fillId="7" borderId="1" xfId="0" applyNumberFormat="1" applyFont="1" applyFill="1" applyBorder="1" applyAlignment="1">
      <alignment horizontal="center" vertical="center" wrapText="1"/>
    </xf>
    <xf numFmtId="165" fontId="8" fillId="8" borderId="1" xfId="0" applyNumberFormat="1" applyFont="1" applyFill="1" applyBorder="1" applyAlignment="1">
      <alignment horizontal="center" vertical="center" wrapText="1"/>
    </xf>
    <xf numFmtId="166" fontId="8" fillId="8" borderId="1" xfId="0" applyNumberFormat="1" applyFont="1" applyFill="1" applyBorder="1" applyAlignment="1">
      <alignment horizontal="center" vertical="center" wrapText="1"/>
    </xf>
    <xf numFmtId="166" fontId="8" fillId="7" borderId="1" xfId="0" applyNumberFormat="1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left" vertical="center" wrapText="1"/>
    </xf>
    <xf numFmtId="0" fontId="17" fillId="7" borderId="1" xfId="0" applyFont="1" applyFill="1" applyBorder="1" applyAlignment="1">
      <alignment horizontal="center" vertical="center" wrapText="1"/>
    </xf>
    <xf numFmtId="2" fontId="17" fillId="7" borderId="1" xfId="0" applyNumberFormat="1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left" vertical="center" wrapText="1"/>
    </xf>
    <xf numFmtId="0" fontId="17" fillId="8" borderId="1" xfId="0" applyFont="1" applyFill="1" applyBorder="1" applyAlignment="1">
      <alignment horizontal="center" vertical="center" wrapText="1"/>
    </xf>
    <xf numFmtId="2" fontId="17" fillId="8" borderId="1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left" vertical="center" wrapText="1"/>
    </xf>
    <xf numFmtId="0" fontId="8" fillId="13" borderId="1" xfId="0" applyFont="1" applyFill="1" applyBorder="1" applyAlignment="1">
      <alignment horizontal="left" vertical="center" wrapText="1"/>
    </xf>
    <xf numFmtId="0" fontId="6" fillId="18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1" fontId="6" fillId="11" borderId="1" xfId="0" applyNumberFormat="1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left" vertical="center" wrapText="1"/>
    </xf>
    <xf numFmtId="0" fontId="13" fillId="13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14" fillId="14" borderId="1" xfId="0" applyFont="1" applyFill="1" applyBorder="1" applyAlignment="1">
      <alignment horizontal="left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left" vertical="center" wrapText="1"/>
    </xf>
    <xf numFmtId="0" fontId="18" fillId="8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9" fillId="0" borderId="0" xfId="0" applyFont="1" applyAlignment="1">
      <alignment horizontal="center" vertical="center" wrapText="1"/>
    </xf>
    <xf numFmtId="0" fontId="11" fillId="9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17" fillId="12" borderId="1" xfId="0" applyFont="1" applyFill="1" applyBorder="1" applyAlignment="1">
      <alignment horizontal="left" vertical="center" wrapText="1"/>
    </xf>
    <xf numFmtId="0" fontId="17" fillId="13" borderId="1" xfId="0" applyFont="1" applyFill="1" applyBorder="1" applyAlignment="1">
      <alignment horizontal="left" vertical="center" wrapText="1"/>
    </xf>
    <xf numFmtId="0" fontId="5" fillId="17" borderId="1" xfId="0" applyFont="1" applyFill="1" applyBorder="1" applyAlignment="1">
      <alignment horizontal="center" vertical="center" wrapText="1"/>
    </xf>
    <xf numFmtId="0" fontId="17" fillId="14" borderId="1" xfId="0" applyFont="1" applyFill="1" applyBorder="1" applyAlignment="1">
      <alignment horizontal="left" vertical="center" wrapText="1"/>
    </xf>
    <xf numFmtId="0" fontId="17" fillId="18" borderId="1" xfId="0" applyFont="1" applyFill="1" applyBorder="1" applyAlignment="1">
      <alignment horizontal="left" vertical="center" wrapText="1"/>
    </xf>
    <xf numFmtId="0" fontId="9" fillId="14" borderId="1" xfId="0" applyFont="1" applyFill="1" applyBorder="1" applyAlignment="1">
      <alignment horizontal="left" vertical="center" wrapText="1"/>
    </xf>
    <xf numFmtId="0" fontId="9" fillId="12" borderId="1" xfId="0" applyFont="1" applyFill="1" applyBorder="1" applyAlignment="1">
      <alignment horizontal="left" vertical="center" wrapText="1"/>
    </xf>
    <xf numFmtId="0" fontId="9" fillId="1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1F6B5E"/>
      <rgbColor rgb="FFBFBFBF"/>
      <rgbColor rgb="FF878787"/>
      <rgbColor rgb="FF9999FF"/>
      <rgbColor rgb="FF993366"/>
      <rgbColor rgb="FFFFF2CC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CE4D6"/>
      <rgbColor rgb="FFA9D18E"/>
      <rgbColor rgb="FFF7F9FC"/>
      <rgbColor rgb="FFD9D9D9"/>
      <rgbColor rgb="FFF4B183"/>
      <rgbColor rgb="FF2E75B6"/>
      <rgbColor rgb="FF46AAC4"/>
      <rgbColor rgb="FF98B855"/>
      <rgbColor rgb="FFFFCC00"/>
      <rgbColor rgb="FFF59240"/>
      <rgbColor rgb="FFC55A11"/>
      <rgbColor rgb="FF7D5FA0"/>
      <rgbColor rgb="FF9BBB59"/>
      <rgbColor rgb="FF1F3864"/>
      <rgbColor rgb="FF339966"/>
      <rgbColor rgb="FF003300"/>
      <rgbColor rgb="FF333300"/>
      <rgbColor rgb="FF843C0C"/>
      <rgbColor rgb="FF993366"/>
      <rgbColor rgb="FF59595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Revenue Comparison (₹ Cr)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Tata Motors</c:v>
          </c:tx>
          <c:spPr>
            <a:solidFill>
              <a:srgbClr val="C55A1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'📉 Charts Dashboard'!$B$3:$D$3</c:f>
              <c:strCache>
                <c:ptCount val="3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</c:strCache>
            </c:strRef>
          </c:cat>
          <c:val>
            <c:numRef>
              <c:f>'📉 Charts Dashboard'!$B$4:$B$5</c:f>
              <c:numCache>
                <c:formatCode>#,##0</c:formatCode>
                <c:ptCount val="2"/>
                <c:pt idx="0">
                  <c:v>278454</c:v>
                </c:pt>
                <c:pt idx="1">
                  <c:v>75687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CC-4A69-BE07-115817A73CDA}"/>
            </c:ext>
          </c:extLst>
        </c:ser>
        <c:ser>
          <c:idx val="1"/>
          <c:order val="1"/>
          <c:tx>
            <c:strRef>
              <c:f>'📉 Charts Dashboard'!$C$3</c:f>
              <c:strCache>
                <c:ptCount val="1"/>
                <c:pt idx="0">
                  <c:v>FY23</c:v>
                </c:pt>
              </c:strCache>
            </c:strRef>
          </c:tx>
          <c:spPr>
            <a:solidFill>
              <a:srgbClr val="1F6B5E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'📉 Charts Dashboard'!$B$3:$D$3</c:f>
              <c:strCache>
                <c:ptCount val="3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</c:strCache>
            </c:strRef>
          </c:cat>
          <c:val>
            <c:numRef>
              <c:f>'📉 Charts Dashboard'!$C$4:$C$5</c:f>
              <c:numCache>
                <c:formatCode>#,##0</c:formatCode>
                <c:ptCount val="2"/>
                <c:pt idx="0">
                  <c:v>345967</c:v>
                </c:pt>
                <c:pt idx="1">
                  <c:v>82451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CC-4A69-BE07-115817A73CDA}"/>
            </c:ext>
          </c:extLst>
        </c:ser>
        <c:ser>
          <c:idx val="2"/>
          <c:order val="2"/>
          <c:tx>
            <c:strRef>
              <c:f>'📉 Charts Dashboard'!$D$3</c:f>
              <c:strCache>
                <c:ptCount val="1"/>
                <c:pt idx="0">
                  <c:v>FY24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'📉 Charts Dashboard'!$B$3:$D$3</c:f>
              <c:strCache>
                <c:ptCount val="3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</c:strCache>
            </c:strRef>
          </c:cat>
          <c:val>
            <c:numRef>
              <c:f>'📉 Charts Dashboard'!$D$4:$D$5</c:f>
              <c:numCache>
                <c:formatCode>#,##0</c:formatCode>
                <c:ptCount val="2"/>
                <c:pt idx="0">
                  <c:v>437928</c:v>
                </c:pt>
                <c:pt idx="1">
                  <c:v>89540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CC-4A69-BE07-115817A73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827635"/>
        <c:axId val="86024961"/>
      </c:barChart>
      <c:catAx>
        <c:axId val="3382763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Fiscal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024961"/>
        <c:crosses val="autoZero"/>
        <c:auto val="1"/>
        <c:lblAlgn val="ctr"/>
        <c:lblOffset val="100"/>
        <c:noMultiLvlLbl val="0"/>
      </c:catAx>
      <c:valAx>
        <c:axId val="860249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₹ Crores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8276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Net Profit Comparison (₹ Cr)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'📉 Charts Dashboard'!$B$8</c:f>
              <c:strCache>
                <c:ptCount val="1"/>
                <c:pt idx="0">
                  <c:v>FY22</c:v>
                </c:pt>
              </c:strCache>
            </c:strRef>
          </c:tx>
          <c:spPr>
            <a:solidFill>
              <a:srgbClr val="C55A1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'📉 Charts Dashboard'!$B$8:$D$8</c:f>
              <c:strCache>
                <c:ptCount val="3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</c:strCache>
            </c:strRef>
          </c:cat>
          <c:val>
            <c:numRef>
              <c:f>'📉 Charts Dashboard'!$B$9:$B$10</c:f>
              <c:numCache>
                <c:formatCode>#,##0;\(#,##0\);\-</c:formatCode>
                <c:ptCount val="2"/>
                <c:pt idx="0">
                  <c:v>-11309</c:v>
                </c:pt>
                <c:pt idx="1">
                  <c:v>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6C-4C4E-A37A-BBAD33EADBEF}"/>
            </c:ext>
          </c:extLst>
        </c:ser>
        <c:ser>
          <c:idx val="1"/>
          <c:order val="1"/>
          <c:tx>
            <c:strRef>
              <c:f>'📉 Charts Dashboard'!$C$8</c:f>
              <c:strCache>
                <c:ptCount val="1"/>
                <c:pt idx="0">
                  <c:v>FY23</c:v>
                </c:pt>
              </c:strCache>
            </c:strRef>
          </c:tx>
          <c:spPr>
            <a:solidFill>
              <a:srgbClr val="1F6B5E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'📉 Charts Dashboard'!$B$8:$D$8</c:f>
              <c:strCache>
                <c:ptCount val="3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</c:strCache>
            </c:strRef>
          </c:cat>
          <c:val>
            <c:numRef>
              <c:f>'📉 Charts Dashboard'!$C$9:$C$10</c:f>
              <c:numCache>
                <c:formatCode>#,##0;\(#,##0\);\-</c:formatCode>
                <c:ptCount val="2"/>
                <c:pt idx="0">
                  <c:v>2690</c:v>
                </c:pt>
                <c:pt idx="1">
                  <c:v>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6C-4C4E-A37A-BBAD33EADBEF}"/>
            </c:ext>
          </c:extLst>
        </c:ser>
        <c:ser>
          <c:idx val="2"/>
          <c:order val="2"/>
          <c:tx>
            <c:strRef>
              <c:f>'📉 Charts Dashboard'!$D$8</c:f>
              <c:strCache>
                <c:ptCount val="1"/>
                <c:pt idx="0">
                  <c:v>FY24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'📉 Charts Dashboard'!$B$8:$D$8</c:f>
              <c:strCache>
                <c:ptCount val="3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</c:strCache>
            </c:strRef>
          </c:cat>
          <c:val>
            <c:numRef>
              <c:f>'📉 Charts Dashboard'!$D$9:$D$10</c:f>
              <c:numCache>
                <c:formatCode>#,##0;\(#,##0\);\-</c:formatCode>
                <c:ptCount val="2"/>
                <c:pt idx="0">
                  <c:v>31807</c:v>
                </c:pt>
                <c:pt idx="1">
                  <c:v>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6C-4C4E-A37A-BBAD33EAD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186649"/>
        <c:axId val="95618974"/>
      </c:barChart>
      <c:catAx>
        <c:axId val="4418664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Fiscal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618974"/>
        <c:crosses val="autoZero"/>
        <c:auto val="1"/>
        <c:lblAlgn val="ctr"/>
        <c:lblOffset val="100"/>
        <c:noMultiLvlLbl val="0"/>
      </c:catAx>
      <c:valAx>
        <c:axId val="956189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₹ Crores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18664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1-Week Stock Price Trend (Apr 14–20, 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'📉 Charts Dashboard'!$B$13</c:f>
              <c:strCache>
                <c:ptCount val="1"/>
                <c:pt idx="0">
                  <c:v>Apr 14</c:v>
                </c:pt>
              </c:strCache>
            </c:strRef>
          </c:tx>
          <c:spPr>
            <a:ln w="2484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'📉 Charts Dashboard'!$B$13:$G$13</c:f>
              <c:strCache>
                <c:ptCount val="6"/>
                <c:pt idx="0">
                  <c:v>Apr 14</c:v>
                </c:pt>
                <c:pt idx="1">
                  <c:v>Apr 15</c:v>
                </c:pt>
                <c:pt idx="2">
                  <c:v>Apr 16</c:v>
                </c:pt>
                <c:pt idx="3">
                  <c:v>Apr 17</c:v>
                </c:pt>
                <c:pt idx="4">
                  <c:v>Apr 18</c:v>
                </c:pt>
                <c:pt idx="5">
                  <c:v>Apr 20</c:v>
                </c:pt>
              </c:strCache>
            </c:strRef>
          </c:cat>
          <c:val>
            <c:numRef>
              <c:f>'📉 Charts Dashboard'!$B$14:$B$15</c:f>
              <c:numCache>
                <c:formatCode>General</c:formatCode>
                <c:ptCount val="2"/>
                <c:pt idx="0">
                  <c:v>433.6</c:v>
                </c:pt>
                <c:pt idx="1">
                  <c:v>540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CB2-4180-834E-3A842843CB88}"/>
            </c:ext>
          </c:extLst>
        </c:ser>
        <c:ser>
          <c:idx val="1"/>
          <c:order val="1"/>
          <c:tx>
            <c:strRef>
              <c:f>'📉 Charts Dashboard'!$C$13</c:f>
              <c:strCache>
                <c:ptCount val="1"/>
                <c:pt idx="0">
                  <c:v>Apr 15</c:v>
                </c:pt>
              </c:strCache>
            </c:strRef>
          </c:tx>
          <c:spPr>
            <a:ln w="24840">
              <a:solidFill>
                <a:srgbClr val="1F6B5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'📉 Charts Dashboard'!$B$13:$G$13</c:f>
              <c:strCache>
                <c:ptCount val="6"/>
                <c:pt idx="0">
                  <c:v>Apr 14</c:v>
                </c:pt>
                <c:pt idx="1">
                  <c:v>Apr 15</c:v>
                </c:pt>
                <c:pt idx="2">
                  <c:v>Apr 16</c:v>
                </c:pt>
                <c:pt idx="3">
                  <c:v>Apr 17</c:v>
                </c:pt>
                <c:pt idx="4">
                  <c:v>Apr 18</c:v>
                </c:pt>
                <c:pt idx="5">
                  <c:v>Apr 20</c:v>
                </c:pt>
              </c:strCache>
            </c:strRef>
          </c:cat>
          <c:val>
            <c:numRef>
              <c:f>'📉 Charts Dashboard'!$C$14:$C$15</c:f>
              <c:numCache>
                <c:formatCode>General</c:formatCode>
                <c:ptCount val="2"/>
                <c:pt idx="0">
                  <c:v>438.1</c:v>
                </c:pt>
                <c:pt idx="1">
                  <c:v>566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CB2-4180-834E-3A842843CB88}"/>
            </c:ext>
          </c:extLst>
        </c:ser>
        <c:ser>
          <c:idx val="2"/>
          <c:order val="2"/>
          <c:tx>
            <c:strRef>
              <c:f>'📉 Charts Dashboard'!$D$13</c:f>
              <c:strCache>
                <c:ptCount val="1"/>
                <c:pt idx="0">
                  <c:v>Apr 16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'📉 Charts Dashboard'!$B$13:$G$13</c:f>
              <c:strCache>
                <c:ptCount val="6"/>
                <c:pt idx="0">
                  <c:v>Apr 14</c:v>
                </c:pt>
                <c:pt idx="1">
                  <c:v>Apr 15</c:v>
                </c:pt>
                <c:pt idx="2">
                  <c:v>Apr 16</c:v>
                </c:pt>
                <c:pt idx="3">
                  <c:v>Apr 17</c:v>
                </c:pt>
                <c:pt idx="4">
                  <c:v>Apr 18</c:v>
                </c:pt>
                <c:pt idx="5">
                  <c:v>Apr 20</c:v>
                </c:pt>
              </c:strCache>
            </c:strRef>
          </c:cat>
          <c:val>
            <c:numRef>
              <c:f>'📉 Charts Dashboard'!$D$14:$D$15</c:f>
              <c:numCache>
                <c:formatCode>General</c:formatCode>
                <c:ptCount val="2"/>
                <c:pt idx="0">
                  <c:v>442</c:v>
                </c:pt>
                <c:pt idx="1">
                  <c:v>562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CB2-4180-834E-3A842843CB88}"/>
            </c:ext>
          </c:extLst>
        </c:ser>
        <c:ser>
          <c:idx val="3"/>
          <c:order val="3"/>
          <c:tx>
            <c:strRef>
              <c:f>'📉 Charts Dashboard'!$E$13</c:f>
              <c:strCache>
                <c:ptCount val="1"/>
                <c:pt idx="0">
                  <c:v>Apr 17</c:v>
                </c:pt>
              </c:strCache>
            </c:strRef>
          </c:tx>
          <c:spPr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'📉 Charts Dashboard'!$B$13:$G$13</c:f>
              <c:strCache>
                <c:ptCount val="6"/>
                <c:pt idx="0">
                  <c:v>Apr 14</c:v>
                </c:pt>
                <c:pt idx="1">
                  <c:v>Apr 15</c:v>
                </c:pt>
                <c:pt idx="2">
                  <c:v>Apr 16</c:v>
                </c:pt>
                <c:pt idx="3">
                  <c:v>Apr 17</c:v>
                </c:pt>
                <c:pt idx="4">
                  <c:v>Apr 18</c:v>
                </c:pt>
                <c:pt idx="5">
                  <c:v>Apr 20</c:v>
                </c:pt>
              </c:strCache>
            </c:strRef>
          </c:cat>
          <c:val>
            <c:numRef>
              <c:f>'📉 Charts Dashboard'!$E$14:$E$15</c:f>
              <c:numCache>
                <c:formatCode>General</c:formatCode>
                <c:ptCount val="2"/>
                <c:pt idx="0">
                  <c:v>439.1</c:v>
                </c:pt>
                <c:pt idx="1">
                  <c:v>560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ACB2-4180-834E-3A842843CB88}"/>
            </c:ext>
          </c:extLst>
        </c:ser>
        <c:ser>
          <c:idx val="4"/>
          <c:order val="4"/>
          <c:tx>
            <c:strRef>
              <c:f>'📉 Charts Dashboard'!$F$13</c:f>
              <c:strCache>
                <c:ptCount val="1"/>
                <c:pt idx="0">
                  <c:v>Apr 18</c:v>
                </c:pt>
              </c:strCache>
            </c:strRef>
          </c:tx>
          <c:spPr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'📉 Charts Dashboard'!$B$13:$G$13</c:f>
              <c:strCache>
                <c:ptCount val="6"/>
                <c:pt idx="0">
                  <c:v>Apr 14</c:v>
                </c:pt>
                <c:pt idx="1">
                  <c:v>Apr 15</c:v>
                </c:pt>
                <c:pt idx="2">
                  <c:v>Apr 16</c:v>
                </c:pt>
                <c:pt idx="3">
                  <c:v>Apr 17</c:v>
                </c:pt>
                <c:pt idx="4">
                  <c:v>Apr 18</c:v>
                </c:pt>
                <c:pt idx="5">
                  <c:v>Apr 20</c:v>
                </c:pt>
              </c:strCache>
            </c:strRef>
          </c:cat>
          <c:val>
            <c:numRef>
              <c:f>'📉 Charts Dashboard'!$F$14:$F$15</c:f>
              <c:numCache>
                <c:formatCode>General</c:formatCode>
                <c:ptCount val="2"/>
                <c:pt idx="0">
                  <c:v>444.5</c:v>
                </c:pt>
                <c:pt idx="1">
                  <c:v>562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ACB2-4180-834E-3A842843CB88}"/>
            </c:ext>
          </c:extLst>
        </c:ser>
        <c:ser>
          <c:idx val="5"/>
          <c:order val="5"/>
          <c:tx>
            <c:strRef>
              <c:f>'📉 Charts Dashboard'!$G$13</c:f>
              <c:strCache>
                <c:ptCount val="1"/>
                <c:pt idx="0">
                  <c:v>Apr 20</c:v>
                </c:pt>
              </c:strCache>
            </c:strRef>
          </c:tx>
          <c:spPr>
            <a:ln w="28440">
              <a:solidFill>
                <a:srgbClr val="F5924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'📉 Charts Dashboard'!$B$13:$G$13</c:f>
              <c:strCache>
                <c:ptCount val="6"/>
                <c:pt idx="0">
                  <c:v>Apr 14</c:v>
                </c:pt>
                <c:pt idx="1">
                  <c:v>Apr 15</c:v>
                </c:pt>
                <c:pt idx="2">
                  <c:v>Apr 16</c:v>
                </c:pt>
                <c:pt idx="3">
                  <c:v>Apr 17</c:v>
                </c:pt>
                <c:pt idx="4">
                  <c:v>Apr 18</c:v>
                </c:pt>
                <c:pt idx="5">
                  <c:v>Apr 20</c:v>
                </c:pt>
              </c:strCache>
            </c:strRef>
          </c:cat>
          <c:val>
            <c:numRef>
              <c:f>'📉 Charts Dashboard'!$G$14:$G$15</c:f>
              <c:numCache>
                <c:formatCode>General</c:formatCode>
                <c:ptCount val="2"/>
                <c:pt idx="0">
                  <c:v>439.1</c:v>
                </c:pt>
                <c:pt idx="1">
                  <c:v>562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ACB2-4180-834E-3A842843CB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8998867"/>
        <c:axId val="91509597"/>
      </c:lineChart>
      <c:catAx>
        <c:axId val="1899886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509597"/>
        <c:crosses val="autoZero"/>
        <c:auto val="1"/>
        <c:lblAlgn val="ctr"/>
        <c:lblOffset val="100"/>
        <c:noMultiLvlLbl val="0"/>
      </c:catAx>
      <c:valAx>
        <c:axId val="915095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Price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99886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Debt-to-Equity Ratio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'📉 Charts Dashboard'!$B$18</c:f>
              <c:strCache>
                <c:ptCount val="1"/>
                <c:pt idx="0">
                  <c:v>FY22</c:v>
                </c:pt>
              </c:strCache>
            </c:strRef>
          </c:tx>
          <c:spPr>
            <a:ln w="2844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'📉 Charts Dashboard'!$B$18:$D$18</c:f>
              <c:strCache>
                <c:ptCount val="3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</c:strCache>
            </c:strRef>
          </c:cat>
          <c:val>
            <c:numRef>
              <c:f>'📉 Charts Dashboard'!$B$19:$B$20</c:f>
              <c:numCache>
                <c:formatCode>0.00</c:formatCode>
                <c:ptCount val="2"/>
                <c:pt idx="0">
                  <c:v>2.1</c:v>
                </c:pt>
                <c:pt idx="1">
                  <c:v>0.22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D52-435C-8341-5A83286D1EB2}"/>
            </c:ext>
          </c:extLst>
        </c:ser>
        <c:ser>
          <c:idx val="1"/>
          <c:order val="1"/>
          <c:tx>
            <c:strRef>
              <c:f>'📉 Charts Dashboard'!$C$18</c:f>
              <c:strCache>
                <c:ptCount val="1"/>
                <c:pt idx="0">
                  <c:v>FY23</c:v>
                </c:pt>
              </c:strCache>
            </c:strRef>
          </c:tx>
          <c:spPr>
            <a:ln w="28440">
              <a:solidFill>
                <a:srgbClr val="1F6B5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'📉 Charts Dashboard'!$B$18:$D$18</c:f>
              <c:strCache>
                <c:ptCount val="3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</c:strCache>
            </c:strRef>
          </c:cat>
          <c:val>
            <c:numRef>
              <c:f>'📉 Charts Dashboard'!$C$19:$C$20</c:f>
              <c:numCache>
                <c:formatCode>0.00</c:formatCode>
                <c:ptCount val="2"/>
                <c:pt idx="0">
                  <c:v>1.8</c:v>
                </c:pt>
                <c:pt idx="1">
                  <c:v>0.2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D52-435C-8341-5A83286D1EB2}"/>
            </c:ext>
          </c:extLst>
        </c:ser>
        <c:ser>
          <c:idx val="2"/>
          <c:order val="2"/>
          <c:tx>
            <c:strRef>
              <c:f>'📉 Charts Dashboard'!$D$18</c:f>
              <c:strCache>
                <c:ptCount val="1"/>
                <c:pt idx="0">
                  <c:v>FY24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'📉 Charts Dashboard'!$B$18:$D$18</c:f>
              <c:strCache>
                <c:ptCount val="3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</c:strCache>
            </c:strRef>
          </c:cat>
          <c:val>
            <c:numRef>
              <c:f>'📉 Charts Dashboard'!$D$19:$D$20</c:f>
              <c:numCache>
                <c:formatCode>0.00</c:formatCode>
                <c:ptCount val="2"/>
                <c:pt idx="0">
                  <c:v>1.4</c:v>
                </c:pt>
                <c:pt idx="1">
                  <c:v>0.19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D52-435C-8341-5A83286D1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839282"/>
        <c:axId val="24952323"/>
      </c:lineChart>
      <c:catAx>
        <c:axId val="883928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Fiscal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4952323"/>
        <c:crosses val="autoZero"/>
        <c:auto val="1"/>
        <c:lblAlgn val="ctr"/>
        <c:lblOffset val="100"/>
        <c:noMultiLvlLbl val="0"/>
      </c:catAx>
      <c:valAx>
        <c:axId val="249523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D/E Ratio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392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Net Profit Margin Trend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'📉 Charts Dashboard'!$B$23</c:f>
              <c:strCache>
                <c:ptCount val="1"/>
                <c:pt idx="0">
                  <c:v>FY22</c:v>
                </c:pt>
              </c:strCache>
            </c:strRef>
          </c:tx>
          <c:spPr>
            <a:ln w="2844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'📉 Charts Dashboard'!$B$23:$D$23</c:f>
              <c:strCache>
                <c:ptCount val="3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</c:strCache>
            </c:strRef>
          </c:cat>
          <c:val>
            <c:numRef>
              <c:f>'📉 Charts Dashboard'!$B$24:$B$25</c:f>
              <c:numCache>
                <c:formatCode>General</c:formatCode>
                <c:ptCount val="2"/>
                <c:pt idx="0">
                  <c:v>-4.0599999999999996</c:v>
                </c:pt>
                <c:pt idx="1">
                  <c:v>0.99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62E-471F-A139-0527D66AB7F2}"/>
            </c:ext>
          </c:extLst>
        </c:ser>
        <c:ser>
          <c:idx val="1"/>
          <c:order val="1"/>
          <c:tx>
            <c:strRef>
              <c:f>'📉 Charts Dashboard'!$C$23</c:f>
              <c:strCache>
                <c:ptCount val="1"/>
                <c:pt idx="0">
                  <c:v>FY23</c:v>
                </c:pt>
              </c:strCache>
            </c:strRef>
          </c:tx>
          <c:spPr>
            <a:ln w="28440">
              <a:solidFill>
                <a:srgbClr val="1F6B5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'📉 Charts Dashboard'!$B$23:$D$23</c:f>
              <c:strCache>
                <c:ptCount val="3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</c:strCache>
            </c:strRef>
          </c:cat>
          <c:val>
            <c:numRef>
              <c:f>'📉 Charts Dashboard'!$C$24:$C$25</c:f>
              <c:numCache>
                <c:formatCode>General</c:formatCode>
                <c:ptCount val="2"/>
                <c:pt idx="0">
                  <c:v>0.78</c:v>
                </c:pt>
                <c:pt idx="1">
                  <c:v>0.98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62E-471F-A139-0527D66AB7F2}"/>
            </c:ext>
          </c:extLst>
        </c:ser>
        <c:ser>
          <c:idx val="2"/>
          <c:order val="2"/>
          <c:tx>
            <c:strRef>
              <c:f>'📉 Charts Dashboard'!$D$23</c:f>
              <c:strCache>
                <c:ptCount val="1"/>
                <c:pt idx="0">
                  <c:v>FY24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'📉 Charts Dashboard'!$B$23:$D$23</c:f>
              <c:strCache>
                <c:ptCount val="3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</c:strCache>
            </c:strRef>
          </c:cat>
          <c:val>
            <c:numRef>
              <c:f>'📉 Charts Dashboard'!$D$24:$D$25</c:f>
              <c:numCache>
                <c:formatCode>General</c:formatCode>
                <c:ptCount val="2"/>
                <c:pt idx="0">
                  <c:v>7.26</c:v>
                </c:pt>
                <c:pt idx="1">
                  <c:v>0.95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62E-471F-A139-0527D66AB7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6257540"/>
        <c:axId val="90926366"/>
      </c:lineChart>
      <c:catAx>
        <c:axId val="1625754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Fiscal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926366"/>
        <c:crosses val="autoZero"/>
        <c:auto val="1"/>
        <c:lblAlgn val="ctr"/>
        <c:lblOffset val="100"/>
        <c:noMultiLvlLbl val="0"/>
      </c:catAx>
      <c:valAx>
        <c:axId val="909263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Margin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25754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0</xdr:rowOff>
    </xdr:from>
    <xdr:to>
      <xdr:col>14</xdr:col>
      <xdr:colOff>136080</xdr:colOff>
      <xdr:row>19</xdr:row>
      <xdr:rowOff>109800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21</xdr:col>
      <xdr:colOff>0</xdr:colOff>
      <xdr:row>2</xdr:row>
      <xdr:rowOff>0</xdr:rowOff>
    </xdr:from>
    <xdr:to>
      <xdr:col>30</xdr:col>
      <xdr:colOff>135720</xdr:colOff>
      <xdr:row>19</xdr:row>
      <xdr:rowOff>109800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15</xdr:row>
      <xdr:rowOff>0</xdr:rowOff>
    </xdr:from>
    <xdr:to>
      <xdr:col>15</xdr:col>
      <xdr:colOff>151200</xdr:colOff>
      <xdr:row>32</xdr:row>
      <xdr:rowOff>109800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21</xdr:col>
      <xdr:colOff>0</xdr:colOff>
      <xdr:row>15</xdr:row>
      <xdr:rowOff>0</xdr:rowOff>
    </xdr:from>
    <xdr:to>
      <xdr:col>29</xdr:col>
      <xdr:colOff>120600</xdr:colOff>
      <xdr:row>29</xdr:row>
      <xdr:rowOff>132480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0</xdr:colOff>
      <xdr:row>29</xdr:row>
      <xdr:rowOff>0</xdr:rowOff>
    </xdr:from>
    <xdr:to>
      <xdr:col>14</xdr:col>
      <xdr:colOff>136080</xdr:colOff>
      <xdr:row>46</xdr:row>
      <xdr:rowOff>109800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9"/>
  <sheetViews>
    <sheetView showGridLines="0" tabSelected="1" zoomScaleNormal="100" workbookViewId="0">
      <selection activeCell="E9" sqref="E9:J9"/>
    </sheetView>
  </sheetViews>
  <sheetFormatPr defaultColWidth="8.6640625" defaultRowHeight="14.4" x14ac:dyDescent="0.3"/>
  <cols>
    <col min="1" max="1" width="5" customWidth="1"/>
    <col min="2" max="10" width="14" customWidth="1"/>
  </cols>
  <sheetData>
    <row r="1" spans="1:10" ht="21.75" customHeight="1" x14ac:dyDescent="0.3">
      <c r="A1" s="15"/>
      <c r="B1" s="15"/>
      <c r="C1" s="15"/>
      <c r="D1" s="15"/>
      <c r="E1" s="15"/>
      <c r="F1" s="15"/>
      <c r="G1" s="15"/>
      <c r="H1" s="15"/>
      <c r="I1" s="15"/>
      <c r="J1" s="15"/>
    </row>
    <row r="2" spans="1:10" ht="21.75" customHeight="1" x14ac:dyDescent="0.3">
      <c r="A2" s="15"/>
      <c r="B2" s="14" t="s">
        <v>0</v>
      </c>
      <c r="C2" s="14"/>
      <c r="D2" s="14"/>
      <c r="E2" s="14"/>
      <c r="F2" s="14"/>
      <c r="G2" s="14"/>
      <c r="H2" s="14"/>
      <c r="I2" s="14"/>
      <c r="J2" s="14"/>
    </row>
    <row r="3" spans="1:10" ht="21.75" customHeight="1" x14ac:dyDescent="0.3">
      <c r="A3" s="15"/>
      <c r="B3" s="14"/>
      <c r="C3" s="14"/>
      <c r="D3" s="14"/>
      <c r="E3" s="14"/>
      <c r="F3" s="14"/>
      <c r="G3" s="14"/>
      <c r="H3" s="14"/>
      <c r="I3" s="14"/>
      <c r="J3" s="14"/>
    </row>
    <row r="4" spans="1:10" ht="21.75" customHeight="1" x14ac:dyDescent="0.3">
      <c r="A4" s="15"/>
      <c r="B4" s="14"/>
      <c r="C4" s="14"/>
      <c r="D4" s="14"/>
      <c r="E4" s="14"/>
      <c r="F4" s="14"/>
      <c r="G4" s="14"/>
      <c r="H4" s="14"/>
      <c r="I4" s="14"/>
      <c r="J4" s="14"/>
    </row>
    <row r="5" spans="1:10" ht="21.75" customHeight="1" x14ac:dyDescent="0.3">
      <c r="A5" s="15"/>
      <c r="B5" s="13" t="s">
        <v>1</v>
      </c>
      <c r="C5" s="13"/>
      <c r="D5" s="13"/>
      <c r="E5" s="13"/>
      <c r="F5" s="13"/>
      <c r="G5" s="13"/>
      <c r="H5" s="13"/>
      <c r="I5" s="13"/>
      <c r="J5" s="13"/>
    </row>
    <row r="6" spans="1:10" ht="21.75" customHeight="1" x14ac:dyDescent="0.3">
      <c r="A6" s="15"/>
      <c r="B6" s="13"/>
      <c r="C6" s="13"/>
      <c r="D6" s="13"/>
      <c r="E6" s="13"/>
      <c r="F6" s="13"/>
      <c r="G6" s="13"/>
      <c r="H6" s="13"/>
      <c r="I6" s="13"/>
      <c r="J6" s="13"/>
    </row>
    <row r="7" spans="1:10" ht="21.75" customHeight="1" x14ac:dyDescent="0.3">
      <c r="A7" s="15"/>
      <c r="B7" s="12"/>
      <c r="C7" s="12"/>
      <c r="D7" s="12"/>
      <c r="E7" s="12"/>
      <c r="F7" s="12"/>
      <c r="G7" s="12"/>
      <c r="H7" s="12"/>
      <c r="I7" s="12"/>
      <c r="J7" s="12"/>
    </row>
    <row r="8" spans="1:10" ht="21.75" customHeight="1" x14ac:dyDescent="0.3">
      <c r="A8" s="15"/>
      <c r="B8" s="15"/>
      <c r="C8" s="15"/>
      <c r="D8" s="15"/>
      <c r="E8" s="15"/>
      <c r="F8" s="15"/>
      <c r="G8" s="15"/>
      <c r="H8" s="15"/>
      <c r="I8" s="15"/>
      <c r="J8" s="15"/>
    </row>
    <row r="9" spans="1:10" ht="21.75" customHeight="1" x14ac:dyDescent="0.3">
      <c r="A9" s="15"/>
      <c r="B9" s="15"/>
      <c r="C9" s="11" t="s">
        <v>2</v>
      </c>
      <c r="D9" s="11"/>
      <c r="E9" s="10" t="s">
        <v>496</v>
      </c>
      <c r="F9" s="10"/>
      <c r="G9" s="10"/>
      <c r="H9" s="10"/>
      <c r="I9" s="10"/>
      <c r="J9" s="10"/>
    </row>
    <row r="10" spans="1:10" ht="21.75" customHeight="1" x14ac:dyDescent="0.3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0" ht="21.75" customHeight="1" x14ac:dyDescent="0.3">
      <c r="A11" s="15"/>
      <c r="B11" s="15"/>
      <c r="C11" s="11" t="s">
        <v>3</v>
      </c>
      <c r="D11" s="11"/>
      <c r="E11" s="10" t="s">
        <v>4</v>
      </c>
      <c r="F11" s="10"/>
      <c r="G11" s="10"/>
      <c r="H11" s="10"/>
      <c r="I11" s="10"/>
      <c r="J11" s="10"/>
    </row>
    <row r="12" spans="1:10" ht="21.75" customHeight="1" x14ac:dyDescent="0.3">
      <c r="A12" s="15"/>
      <c r="B12" s="15"/>
      <c r="C12" s="15"/>
      <c r="D12" s="15"/>
      <c r="E12" s="15"/>
      <c r="F12" s="15"/>
      <c r="G12" s="15"/>
      <c r="H12" s="15"/>
      <c r="I12" s="15"/>
      <c r="J12" s="15"/>
    </row>
    <row r="13" spans="1:10" ht="21.75" customHeight="1" x14ac:dyDescent="0.3">
      <c r="A13" s="15"/>
      <c r="B13" s="15"/>
      <c r="C13" s="11" t="s">
        <v>5</v>
      </c>
      <c r="D13" s="11"/>
      <c r="E13" s="10" t="s">
        <v>6</v>
      </c>
      <c r="F13" s="10"/>
      <c r="G13" s="10"/>
      <c r="H13" s="10"/>
      <c r="I13" s="10"/>
      <c r="J13" s="10"/>
    </row>
    <row r="14" spans="1:10" ht="21.75" customHeight="1" x14ac:dyDescent="0.3">
      <c r="A14" s="15"/>
      <c r="B14" s="15"/>
      <c r="C14" s="15"/>
      <c r="D14" s="15"/>
      <c r="E14" s="15"/>
      <c r="F14" s="15"/>
      <c r="G14" s="15"/>
      <c r="H14" s="15"/>
      <c r="I14" s="15"/>
      <c r="J14" s="15"/>
    </row>
    <row r="15" spans="1:10" ht="21.75" customHeight="1" x14ac:dyDescent="0.3">
      <c r="A15" s="15"/>
      <c r="B15" s="15"/>
      <c r="C15" s="11" t="s">
        <v>7</v>
      </c>
      <c r="D15" s="11"/>
      <c r="E15" s="10" t="s">
        <v>8</v>
      </c>
      <c r="F15" s="10"/>
      <c r="G15" s="10"/>
      <c r="H15" s="10"/>
      <c r="I15" s="10"/>
      <c r="J15" s="10"/>
    </row>
    <row r="16" spans="1:10" ht="21.75" customHeight="1" x14ac:dyDescent="0.3">
      <c r="A16" s="15"/>
      <c r="B16" s="15"/>
      <c r="C16" s="15"/>
      <c r="D16" s="15"/>
      <c r="E16" s="15"/>
      <c r="F16" s="15"/>
      <c r="G16" s="15"/>
      <c r="H16" s="15"/>
      <c r="I16" s="15"/>
      <c r="J16" s="15"/>
    </row>
    <row r="17" spans="1:10" ht="21.75" customHeight="1" x14ac:dyDescent="0.3">
      <c r="A17" s="15"/>
      <c r="B17" s="15"/>
      <c r="C17" s="11" t="s">
        <v>9</v>
      </c>
      <c r="D17" s="11"/>
      <c r="E17" s="10" t="s">
        <v>10</v>
      </c>
      <c r="F17" s="10"/>
      <c r="G17" s="10"/>
      <c r="H17" s="10"/>
      <c r="I17" s="10"/>
      <c r="J17" s="10"/>
    </row>
    <row r="18" spans="1:10" ht="21.75" customHeight="1" x14ac:dyDescent="0.3">
      <c r="A18" s="15"/>
      <c r="B18" s="15"/>
      <c r="C18" s="15"/>
      <c r="D18" s="15"/>
      <c r="E18" s="15"/>
      <c r="F18" s="15"/>
      <c r="G18" s="15"/>
      <c r="H18" s="15"/>
      <c r="I18" s="15"/>
      <c r="J18" s="15"/>
    </row>
    <row r="19" spans="1:10" ht="21.75" customHeight="1" x14ac:dyDescent="0.3">
      <c r="A19" s="15"/>
      <c r="B19" s="15"/>
      <c r="C19" s="11" t="s">
        <v>11</v>
      </c>
      <c r="D19" s="11"/>
      <c r="E19" s="10" t="s">
        <v>12</v>
      </c>
      <c r="F19" s="10"/>
      <c r="G19" s="10"/>
      <c r="H19" s="10"/>
      <c r="I19" s="10"/>
      <c r="J19" s="10"/>
    </row>
    <row r="20" spans="1:10" ht="21.75" customHeight="1" x14ac:dyDescent="0.3">
      <c r="A20" s="15"/>
      <c r="B20" s="15"/>
      <c r="C20" s="15"/>
      <c r="D20" s="15"/>
      <c r="E20" s="15"/>
      <c r="F20" s="15"/>
      <c r="G20" s="15"/>
      <c r="H20" s="15"/>
      <c r="I20" s="15"/>
      <c r="J20" s="15"/>
    </row>
    <row r="21" spans="1:10" ht="21.75" customHeight="1" x14ac:dyDescent="0.3">
      <c r="A21" s="15"/>
      <c r="B21" s="15"/>
      <c r="C21" s="15"/>
      <c r="D21" s="15"/>
      <c r="E21" s="15"/>
      <c r="F21" s="15"/>
      <c r="G21" s="15"/>
      <c r="H21" s="15"/>
      <c r="I21" s="15"/>
      <c r="J21" s="15"/>
    </row>
    <row r="22" spans="1:10" ht="21.75" customHeight="1" x14ac:dyDescent="0.3">
      <c r="A22" s="15"/>
      <c r="B22" s="15"/>
      <c r="C22" s="15"/>
      <c r="D22" s="15"/>
      <c r="E22" s="15"/>
      <c r="F22" s="15"/>
      <c r="G22" s="15"/>
      <c r="H22" s="15"/>
      <c r="I22" s="15"/>
      <c r="J22" s="15"/>
    </row>
    <row r="23" spans="1:10" ht="21.75" customHeight="1" x14ac:dyDescent="0.3">
      <c r="A23" s="15"/>
      <c r="B23" s="15"/>
      <c r="C23" s="15"/>
      <c r="D23" s="15"/>
      <c r="E23" s="15"/>
      <c r="F23" s="15"/>
      <c r="G23" s="15"/>
      <c r="H23" s="15"/>
      <c r="I23" s="15"/>
      <c r="J23" s="15"/>
    </row>
    <row r="24" spans="1:10" ht="21.75" customHeight="1" x14ac:dyDescent="0.3">
      <c r="A24" s="15"/>
      <c r="B24" s="9" t="s">
        <v>13</v>
      </c>
      <c r="C24" s="9"/>
      <c r="D24" s="9"/>
      <c r="E24" s="9"/>
      <c r="F24" s="9"/>
      <c r="G24" s="9"/>
      <c r="H24" s="9"/>
      <c r="I24" s="9"/>
      <c r="J24" s="9"/>
    </row>
    <row r="25" spans="1:10" ht="21.75" customHeight="1" x14ac:dyDescent="0.3">
      <c r="A25" s="15"/>
      <c r="B25" s="16" t="s">
        <v>14</v>
      </c>
      <c r="C25" s="8" t="s">
        <v>15</v>
      </c>
      <c r="D25" s="8"/>
      <c r="E25" s="8" t="s">
        <v>16</v>
      </c>
      <c r="F25" s="8"/>
      <c r="G25" s="8"/>
      <c r="H25" s="16" t="s">
        <v>17</v>
      </c>
      <c r="I25" s="15"/>
      <c r="J25" s="15"/>
    </row>
    <row r="26" spans="1:10" ht="21.75" customHeight="1" x14ac:dyDescent="0.3">
      <c r="A26" s="15"/>
      <c r="B26" s="17" t="s">
        <v>18</v>
      </c>
      <c r="C26" s="7" t="s">
        <v>19</v>
      </c>
      <c r="D26" s="7"/>
      <c r="E26" s="6" t="s">
        <v>20</v>
      </c>
      <c r="F26" s="6"/>
      <c r="G26" s="6"/>
      <c r="H26" s="5" t="s">
        <v>21</v>
      </c>
      <c r="I26" s="5"/>
      <c r="J26" s="5"/>
    </row>
    <row r="27" spans="1:10" ht="21.75" customHeight="1" x14ac:dyDescent="0.3">
      <c r="A27" s="15"/>
      <c r="B27" s="19" t="s">
        <v>22</v>
      </c>
      <c r="C27" s="4" t="s">
        <v>23</v>
      </c>
      <c r="D27" s="4"/>
      <c r="E27" s="3" t="s">
        <v>24</v>
      </c>
      <c r="F27" s="3"/>
      <c r="G27" s="3"/>
      <c r="H27" s="2" t="s">
        <v>25</v>
      </c>
      <c r="I27" s="2"/>
      <c r="J27" s="2"/>
    </row>
    <row r="28" spans="1:10" ht="21.75" customHeight="1" x14ac:dyDescent="0.3">
      <c r="A28" s="15"/>
      <c r="B28" s="17" t="s">
        <v>26</v>
      </c>
      <c r="C28" s="7" t="s">
        <v>27</v>
      </c>
      <c r="D28" s="7"/>
      <c r="E28" s="6" t="s">
        <v>28</v>
      </c>
      <c r="F28" s="6"/>
      <c r="G28" s="6"/>
      <c r="H28" s="5" t="s">
        <v>29</v>
      </c>
      <c r="I28" s="5"/>
      <c r="J28" s="5"/>
    </row>
    <row r="29" spans="1:10" ht="21.75" customHeight="1" x14ac:dyDescent="0.3">
      <c r="A29" s="15"/>
      <c r="B29" s="19" t="s">
        <v>30</v>
      </c>
      <c r="C29" s="4" t="s">
        <v>31</v>
      </c>
      <c r="D29" s="4"/>
      <c r="E29" s="3" t="s">
        <v>32</v>
      </c>
      <c r="F29" s="3"/>
      <c r="G29" s="3"/>
      <c r="H29" s="2" t="s">
        <v>33</v>
      </c>
      <c r="I29" s="2"/>
      <c r="J29" s="2"/>
    </row>
    <row r="30" spans="1:10" ht="21.75" customHeight="1" x14ac:dyDescent="0.3">
      <c r="A30" s="15"/>
      <c r="B30" s="17" t="s">
        <v>34</v>
      </c>
      <c r="C30" s="7" t="s">
        <v>35</v>
      </c>
      <c r="D30" s="7"/>
      <c r="E30" s="6" t="s">
        <v>36</v>
      </c>
      <c r="F30" s="6"/>
      <c r="G30" s="6"/>
      <c r="H30" s="5" t="s">
        <v>37</v>
      </c>
      <c r="I30" s="5"/>
      <c r="J30" s="5"/>
    </row>
    <row r="31" spans="1:10" ht="21.75" customHeight="1" x14ac:dyDescent="0.3">
      <c r="A31" s="15"/>
      <c r="B31" s="19" t="s">
        <v>38</v>
      </c>
      <c r="C31" s="4" t="s">
        <v>39</v>
      </c>
      <c r="D31" s="4"/>
      <c r="E31" s="3" t="s">
        <v>40</v>
      </c>
      <c r="F31" s="3"/>
      <c r="G31" s="3"/>
      <c r="H31" s="2" t="s">
        <v>41</v>
      </c>
      <c r="I31" s="2"/>
      <c r="J31" s="2"/>
    </row>
    <row r="32" spans="1:10" ht="21.75" customHeight="1" x14ac:dyDescent="0.3">
      <c r="A32" s="15"/>
      <c r="B32" s="17" t="s">
        <v>42</v>
      </c>
      <c r="C32" s="7" t="s">
        <v>43</v>
      </c>
      <c r="D32" s="7"/>
      <c r="E32" s="6" t="s">
        <v>44</v>
      </c>
      <c r="F32" s="6"/>
      <c r="G32" s="6"/>
      <c r="H32" s="5" t="s">
        <v>45</v>
      </c>
      <c r="I32" s="5"/>
      <c r="J32" s="5"/>
    </row>
    <row r="33" spans="1:10" ht="21.75" customHeight="1" x14ac:dyDescent="0.3">
      <c r="A33" s="15"/>
      <c r="B33" s="19" t="s">
        <v>46</v>
      </c>
      <c r="C33" s="4" t="s">
        <v>47</v>
      </c>
      <c r="D33" s="4"/>
      <c r="E33" s="3" t="s">
        <v>48</v>
      </c>
      <c r="F33" s="3"/>
      <c r="G33" s="3"/>
      <c r="H33" s="2" t="s">
        <v>49</v>
      </c>
      <c r="I33" s="2"/>
      <c r="J33" s="2"/>
    </row>
    <row r="34" spans="1:10" ht="21.75" customHeight="1" x14ac:dyDescent="0.3">
      <c r="A34" s="15"/>
      <c r="B34" s="15"/>
      <c r="C34" s="15"/>
      <c r="D34" s="15"/>
      <c r="E34" s="15"/>
      <c r="F34" s="15"/>
      <c r="G34" s="15"/>
      <c r="H34" s="15"/>
      <c r="I34" s="15"/>
      <c r="J34" s="15"/>
    </row>
    <row r="35" spans="1:10" ht="21.75" customHeight="1" x14ac:dyDescent="0.3">
      <c r="A35" s="15"/>
      <c r="B35" s="15"/>
      <c r="C35" s="15"/>
      <c r="D35" s="15"/>
      <c r="E35" s="15"/>
      <c r="F35" s="15"/>
      <c r="G35" s="15"/>
      <c r="H35" s="15"/>
      <c r="I35" s="15"/>
      <c r="J35" s="15"/>
    </row>
    <row r="36" spans="1:10" ht="21.75" customHeight="1" x14ac:dyDescent="0.3">
      <c r="A36" s="15"/>
      <c r="B36" s="15"/>
      <c r="C36" s="15"/>
      <c r="D36" s="15"/>
      <c r="E36" s="15"/>
      <c r="F36" s="15"/>
      <c r="G36" s="15"/>
      <c r="H36" s="15"/>
      <c r="I36" s="15"/>
      <c r="J36" s="15"/>
    </row>
    <row r="37" spans="1:10" ht="21.75" customHeight="1" x14ac:dyDescent="0.3">
      <c r="A37" s="15"/>
      <c r="B37" s="15"/>
      <c r="C37" s="15"/>
      <c r="D37" s="15"/>
      <c r="E37" s="15"/>
      <c r="F37" s="15"/>
      <c r="G37" s="15"/>
      <c r="H37" s="15"/>
      <c r="I37" s="15"/>
      <c r="J37" s="15"/>
    </row>
    <row r="38" spans="1:10" ht="21.75" customHeight="1" x14ac:dyDescent="0.3">
      <c r="A38" s="15"/>
      <c r="B38" s="15"/>
      <c r="C38" s="15"/>
      <c r="D38" s="15"/>
      <c r="E38" s="15"/>
      <c r="F38" s="15"/>
      <c r="G38" s="15"/>
      <c r="H38" s="15"/>
      <c r="I38" s="15"/>
      <c r="J38" s="15"/>
    </row>
    <row r="39" spans="1:10" ht="21.75" customHeight="1" x14ac:dyDescent="0.3">
      <c r="A39" s="15"/>
      <c r="B39" s="15"/>
      <c r="C39" s="15"/>
      <c r="D39" s="15"/>
      <c r="E39" s="15"/>
      <c r="F39" s="15"/>
      <c r="G39" s="15"/>
      <c r="H39" s="15"/>
      <c r="I39" s="15"/>
      <c r="J39" s="15"/>
    </row>
    <row r="40" spans="1:10" ht="21.75" customHeight="1" x14ac:dyDescent="0.3">
      <c r="A40" s="15"/>
      <c r="B40" s="15"/>
      <c r="C40" s="15"/>
      <c r="D40" s="15"/>
      <c r="E40" s="15"/>
      <c r="F40" s="15"/>
      <c r="G40" s="15"/>
      <c r="H40" s="15"/>
      <c r="I40" s="15"/>
      <c r="J40" s="15"/>
    </row>
    <row r="41" spans="1:10" ht="21.75" customHeight="1" x14ac:dyDescent="0.3">
      <c r="A41" s="15"/>
      <c r="B41" s="15"/>
      <c r="C41" s="15"/>
      <c r="D41" s="15"/>
      <c r="E41" s="15"/>
      <c r="F41" s="15"/>
      <c r="G41" s="15"/>
      <c r="H41" s="15"/>
      <c r="I41" s="15"/>
      <c r="J41" s="15"/>
    </row>
    <row r="42" spans="1:10" ht="21.75" customHeight="1" x14ac:dyDescent="0.3">
      <c r="A42" s="15"/>
      <c r="B42" s="1" t="s">
        <v>50</v>
      </c>
      <c r="C42" s="1"/>
      <c r="D42" s="1"/>
      <c r="E42" s="1"/>
      <c r="F42" s="1"/>
      <c r="G42" s="1"/>
      <c r="H42" s="1"/>
      <c r="I42" s="1"/>
      <c r="J42" s="1"/>
    </row>
    <row r="43" spans="1:10" ht="21.75" customHeight="1" x14ac:dyDescent="0.3">
      <c r="A43" s="15"/>
      <c r="B43" s="1"/>
      <c r="C43" s="1"/>
      <c r="D43" s="1"/>
      <c r="E43" s="1"/>
      <c r="F43" s="1"/>
      <c r="G43" s="1"/>
      <c r="H43" s="1"/>
      <c r="I43" s="1"/>
      <c r="J43" s="1"/>
    </row>
    <row r="44" spans="1:10" ht="21.75" customHeight="1" x14ac:dyDescent="0.3">
      <c r="A44" s="15"/>
      <c r="B44" s="15"/>
      <c r="C44" s="15"/>
      <c r="D44" s="15"/>
      <c r="E44" s="15"/>
      <c r="F44" s="15"/>
      <c r="G44" s="15"/>
      <c r="H44" s="15"/>
      <c r="I44" s="15"/>
      <c r="J44" s="15"/>
    </row>
    <row r="45" spans="1:10" ht="19.5" customHeight="1" x14ac:dyDescent="0.3"/>
    <row r="46" spans="1:10" ht="19.5" customHeight="1" x14ac:dyDescent="0.3"/>
    <row r="47" spans="1:10" ht="19.5" customHeight="1" x14ac:dyDescent="0.3"/>
    <row r="48" spans="1:10" ht="19.5" customHeight="1" x14ac:dyDescent="0.3"/>
    <row r="49" ht="19.5" customHeight="1" x14ac:dyDescent="0.3"/>
    <row r="50" ht="19.5" customHeight="1" x14ac:dyDescent="0.3"/>
    <row r="51" ht="19.5" customHeight="1" x14ac:dyDescent="0.3"/>
    <row r="52" ht="19.5" customHeight="1" x14ac:dyDescent="0.3"/>
    <row r="53" ht="19.5" customHeight="1" x14ac:dyDescent="0.3"/>
    <row r="54" ht="19.5" customHeight="1" x14ac:dyDescent="0.3"/>
    <row r="55" ht="19.5" customHeight="1" x14ac:dyDescent="0.3"/>
    <row r="56" ht="19.5" customHeight="1" x14ac:dyDescent="0.3"/>
    <row r="57" ht="19.5" customHeight="1" x14ac:dyDescent="0.3"/>
    <row r="58" ht="19.5" customHeight="1" x14ac:dyDescent="0.3"/>
    <row r="59" ht="19.5" customHeight="1" x14ac:dyDescent="0.3"/>
  </sheetData>
  <mergeCells count="43">
    <mergeCell ref="C33:D33"/>
    <mergeCell ref="E33:G33"/>
    <mergeCell ref="H33:J33"/>
    <mergeCell ref="B42:J43"/>
    <mergeCell ref="C31:D31"/>
    <mergeCell ref="E31:G31"/>
    <mergeCell ref="H31:J31"/>
    <mergeCell ref="C32:D32"/>
    <mergeCell ref="E32:G32"/>
    <mergeCell ref="H32:J32"/>
    <mergeCell ref="C29:D29"/>
    <mergeCell ref="E29:G29"/>
    <mergeCell ref="H29:J29"/>
    <mergeCell ref="C30:D30"/>
    <mergeCell ref="E30:G30"/>
    <mergeCell ref="H30:J30"/>
    <mergeCell ref="C27:D27"/>
    <mergeCell ref="E27:G27"/>
    <mergeCell ref="H27:J27"/>
    <mergeCell ref="C28:D28"/>
    <mergeCell ref="E28:G28"/>
    <mergeCell ref="H28:J28"/>
    <mergeCell ref="C25:D25"/>
    <mergeCell ref="E25:G25"/>
    <mergeCell ref="C26:D26"/>
    <mergeCell ref="E26:G26"/>
    <mergeCell ref="H26:J26"/>
    <mergeCell ref="C17:D17"/>
    <mergeCell ref="E17:J17"/>
    <mergeCell ref="C19:D19"/>
    <mergeCell ref="E19:J19"/>
    <mergeCell ref="B24:J24"/>
    <mergeCell ref="C11:D11"/>
    <mergeCell ref="E11:J11"/>
    <mergeCell ref="C13:D13"/>
    <mergeCell ref="E13:J13"/>
    <mergeCell ref="C15:D15"/>
    <mergeCell ref="E15:J15"/>
    <mergeCell ref="B2:J4"/>
    <mergeCell ref="B5:J6"/>
    <mergeCell ref="B7:J7"/>
    <mergeCell ref="C9:D9"/>
    <mergeCell ref="E9:J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N59"/>
  <sheetViews>
    <sheetView showGridLines="0" zoomScaleNormal="100" workbookViewId="0"/>
  </sheetViews>
  <sheetFormatPr defaultColWidth="8.6640625" defaultRowHeight="14.4" x14ac:dyDescent="0.3"/>
  <cols>
    <col min="1" max="1" width="5" customWidth="1"/>
    <col min="2" max="2" width="16" customWidth="1"/>
    <col min="3" max="6" width="14" customWidth="1"/>
    <col min="7" max="7" width="16" customWidth="1"/>
    <col min="8" max="8" width="5" customWidth="1"/>
    <col min="9" max="9" width="16" customWidth="1"/>
    <col min="10" max="13" width="14" customWidth="1"/>
    <col min="14" max="14" width="16" customWidth="1"/>
  </cols>
  <sheetData>
    <row r="1" spans="2:14" ht="19.5" customHeight="1" x14ac:dyDescent="0.3">
      <c r="B1" s="76" t="s">
        <v>51</v>
      </c>
      <c r="C1" s="76"/>
      <c r="D1" s="76"/>
      <c r="E1" s="76"/>
      <c r="F1" s="76"/>
      <c r="G1" s="76"/>
      <c r="I1" s="76" t="s">
        <v>51</v>
      </c>
      <c r="J1" s="76"/>
      <c r="K1" s="76"/>
      <c r="L1" s="76"/>
      <c r="M1" s="76"/>
      <c r="N1" s="76"/>
    </row>
    <row r="2" spans="2:14" ht="19.5" customHeight="1" x14ac:dyDescent="0.3">
      <c r="B2" s="77" t="s">
        <v>52</v>
      </c>
      <c r="C2" s="77"/>
      <c r="D2" s="77"/>
      <c r="E2" s="77"/>
      <c r="F2" s="77"/>
      <c r="G2" s="77"/>
      <c r="I2" s="78" t="s">
        <v>53</v>
      </c>
      <c r="J2" s="78"/>
      <c r="K2" s="78"/>
      <c r="L2" s="78"/>
      <c r="M2" s="78"/>
      <c r="N2" s="78"/>
    </row>
    <row r="3" spans="2:14" ht="19.5" customHeight="1" x14ac:dyDescent="0.3">
      <c r="B3" s="23" t="s">
        <v>54</v>
      </c>
      <c r="C3" s="23" t="s">
        <v>55</v>
      </c>
      <c r="D3" s="23" t="s">
        <v>56</v>
      </c>
      <c r="E3" s="23" t="s">
        <v>57</v>
      </c>
      <c r="F3" s="23" t="s">
        <v>58</v>
      </c>
      <c r="G3" s="23" t="s">
        <v>59</v>
      </c>
      <c r="I3" s="23" t="s">
        <v>54</v>
      </c>
      <c r="J3" s="23" t="s">
        <v>55</v>
      </c>
      <c r="K3" s="23" t="s">
        <v>56</v>
      </c>
      <c r="L3" s="23" t="s">
        <v>57</v>
      </c>
      <c r="M3" s="23" t="s">
        <v>58</v>
      </c>
      <c r="N3" s="23" t="s">
        <v>59</v>
      </c>
    </row>
    <row r="4" spans="2:14" ht="19.5" customHeight="1" x14ac:dyDescent="0.3">
      <c r="B4" s="18" t="s">
        <v>60</v>
      </c>
      <c r="C4" s="24">
        <v>429.5</v>
      </c>
      <c r="D4" s="24">
        <v>436.2</v>
      </c>
      <c r="E4" s="24">
        <v>426.8</v>
      </c>
      <c r="F4" s="24">
        <v>433.6</v>
      </c>
      <c r="G4" s="25">
        <v>0</v>
      </c>
      <c r="I4" s="18" t="s">
        <v>60</v>
      </c>
      <c r="J4" s="24">
        <v>532</v>
      </c>
      <c r="K4" s="24">
        <v>542.5</v>
      </c>
      <c r="L4" s="24">
        <v>529</v>
      </c>
      <c r="M4" s="24">
        <v>540</v>
      </c>
      <c r="N4" s="26">
        <v>0</v>
      </c>
    </row>
    <row r="5" spans="2:14" ht="19.5" customHeight="1" x14ac:dyDescent="0.3">
      <c r="B5" s="20" t="s">
        <v>61</v>
      </c>
      <c r="C5" s="27">
        <v>434</v>
      </c>
      <c r="D5" s="27">
        <v>440.5</v>
      </c>
      <c r="E5" s="27">
        <v>431.2</v>
      </c>
      <c r="F5" s="27">
        <v>438.1</v>
      </c>
      <c r="G5" s="28">
        <f>(F5-F4)/F4</f>
        <v>1.0378228782287823E-2</v>
      </c>
      <c r="I5" s="20" t="s">
        <v>61</v>
      </c>
      <c r="J5" s="27">
        <v>540</v>
      </c>
      <c r="K5" s="27">
        <v>568</v>
      </c>
      <c r="L5" s="27">
        <v>537</v>
      </c>
      <c r="M5" s="27">
        <v>566</v>
      </c>
      <c r="N5" s="29">
        <f>(M5-M4)/M4</f>
        <v>4.8148148148148148E-2</v>
      </c>
    </row>
    <row r="6" spans="2:14" ht="19.5" customHeight="1" x14ac:dyDescent="0.3">
      <c r="B6" s="18" t="s">
        <v>62</v>
      </c>
      <c r="C6" s="24">
        <v>438.05</v>
      </c>
      <c r="D6" s="24">
        <v>444.55</v>
      </c>
      <c r="E6" s="24">
        <v>437.6</v>
      </c>
      <c r="F6" s="24">
        <v>442</v>
      </c>
      <c r="G6" s="25">
        <f>(F6-F5)/F5</f>
        <v>8.9020771513352599E-3</v>
      </c>
      <c r="I6" s="18" t="s">
        <v>62</v>
      </c>
      <c r="J6" s="24">
        <v>568</v>
      </c>
      <c r="K6" s="24">
        <v>574</v>
      </c>
      <c r="L6" s="24">
        <v>558</v>
      </c>
      <c r="M6" s="24">
        <v>562</v>
      </c>
      <c r="N6" s="26">
        <f>(M6-M5)/M5</f>
        <v>-7.0671378091872791E-3</v>
      </c>
    </row>
    <row r="7" spans="2:14" ht="19.5" customHeight="1" x14ac:dyDescent="0.3">
      <c r="B7" s="20" t="s">
        <v>63</v>
      </c>
      <c r="C7" s="27">
        <v>439.1</v>
      </c>
      <c r="D7" s="27">
        <v>445.4</v>
      </c>
      <c r="E7" s="27">
        <v>435.7</v>
      </c>
      <c r="F7" s="27">
        <v>439.1</v>
      </c>
      <c r="G7" s="28">
        <f>(F7-F6)/F6</f>
        <v>-6.5610859728506277E-3</v>
      </c>
      <c r="I7" s="20" t="s">
        <v>63</v>
      </c>
      <c r="J7" s="27">
        <v>562</v>
      </c>
      <c r="K7" s="27">
        <v>565</v>
      </c>
      <c r="L7" s="27">
        <v>556</v>
      </c>
      <c r="M7" s="27">
        <v>560</v>
      </c>
      <c r="N7" s="29">
        <f>(M7-M6)/M6</f>
        <v>-3.5587188612099642E-3</v>
      </c>
    </row>
    <row r="8" spans="2:14" ht="19.5" customHeight="1" x14ac:dyDescent="0.3">
      <c r="B8" s="18" t="s">
        <v>64</v>
      </c>
      <c r="C8" s="24">
        <v>442</v>
      </c>
      <c r="D8" s="24">
        <v>448.2</v>
      </c>
      <c r="E8" s="24">
        <v>437</v>
      </c>
      <c r="F8" s="24">
        <v>444.5</v>
      </c>
      <c r="G8" s="25">
        <f>(F8-F7)/F7</f>
        <v>1.2297882031427869E-2</v>
      </c>
      <c r="I8" s="18" t="s">
        <v>64</v>
      </c>
      <c r="J8" s="24">
        <v>562</v>
      </c>
      <c r="K8" s="24">
        <v>567</v>
      </c>
      <c r="L8" s="24">
        <v>555</v>
      </c>
      <c r="M8" s="24">
        <v>562</v>
      </c>
      <c r="N8" s="26">
        <f>(M8-M7)/M7</f>
        <v>3.5714285714285713E-3</v>
      </c>
    </row>
    <row r="9" spans="2:14" ht="19.5" customHeight="1" x14ac:dyDescent="0.3">
      <c r="B9" s="20" t="s">
        <v>65</v>
      </c>
      <c r="C9" s="27">
        <v>438</v>
      </c>
      <c r="D9" s="27">
        <v>445.4</v>
      </c>
      <c r="E9" s="27">
        <v>435.7</v>
      </c>
      <c r="F9" s="27">
        <v>439.1</v>
      </c>
      <c r="G9" s="28">
        <f>(F9-F8)/F8</f>
        <v>-1.2148481439819971E-2</v>
      </c>
      <c r="I9" s="20" t="s">
        <v>65</v>
      </c>
      <c r="J9" s="27">
        <v>562</v>
      </c>
      <c r="K9" s="27">
        <v>566</v>
      </c>
      <c r="L9" s="27">
        <v>556</v>
      </c>
      <c r="M9" s="27">
        <v>562</v>
      </c>
      <c r="N9" s="29">
        <f>(M9-M8)/M8</f>
        <v>0</v>
      </c>
    </row>
    <row r="10" spans="2:14" ht="19.5" customHeight="1" x14ac:dyDescent="0.3">
      <c r="B10" s="30" t="s">
        <v>66</v>
      </c>
      <c r="C10" s="31" t="s">
        <v>67</v>
      </c>
      <c r="D10" s="31" t="s">
        <v>68</v>
      </c>
      <c r="E10" s="31" t="s">
        <v>69</v>
      </c>
      <c r="F10" s="31" t="s">
        <v>70</v>
      </c>
      <c r="G10" s="31" t="s">
        <v>71</v>
      </c>
      <c r="I10" s="32" t="s">
        <v>66</v>
      </c>
      <c r="J10" s="33" t="s">
        <v>67</v>
      </c>
      <c r="K10" s="33" t="s">
        <v>68</v>
      </c>
      <c r="L10" s="33" t="s">
        <v>69</v>
      </c>
      <c r="M10" s="33" t="s">
        <v>70</v>
      </c>
      <c r="N10" s="33" t="s">
        <v>71</v>
      </c>
    </row>
    <row r="11" spans="2:14" ht="19.5" customHeight="1" x14ac:dyDescent="0.3">
      <c r="B11" s="34" t="s">
        <v>72</v>
      </c>
      <c r="C11" s="35">
        <f>C4</f>
        <v>429.5</v>
      </c>
      <c r="D11" s="35">
        <f>MAX(D4:D9)</f>
        <v>448.2</v>
      </c>
      <c r="E11" s="35">
        <f>MIN(E4:E9)</f>
        <v>426.8</v>
      </c>
      <c r="F11" s="35">
        <f>F9</f>
        <v>439.1</v>
      </c>
      <c r="G11" s="36">
        <f>(F9-F4)/F4</f>
        <v>1.268450184501845E-2</v>
      </c>
      <c r="I11" s="33" t="s">
        <v>73</v>
      </c>
      <c r="J11" s="37">
        <f>J4</f>
        <v>532</v>
      </c>
      <c r="K11" s="37">
        <f>MAX(K4:K9)</f>
        <v>574</v>
      </c>
      <c r="L11" s="37">
        <f>MIN(L4:L9)</f>
        <v>529</v>
      </c>
      <c r="M11" s="37">
        <f>M9</f>
        <v>562</v>
      </c>
      <c r="N11" s="38">
        <f>(M9-M4)/M4</f>
        <v>4.0740740740740744E-2</v>
      </c>
    </row>
    <row r="12" spans="2:14" ht="19.5" customHeight="1" x14ac:dyDescent="0.3"/>
    <row r="13" spans="2:14" ht="19.5" customHeight="1" x14ac:dyDescent="0.3">
      <c r="B13" s="77" t="s">
        <v>74</v>
      </c>
      <c r="C13" s="77"/>
      <c r="D13" s="77"/>
      <c r="E13" s="77"/>
      <c r="F13" s="77"/>
      <c r="G13" s="77"/>
      <c r="I13" s="78" t="s">
        <v>74</v>
      </c>
      <c r="J13" s="78"/>
      <c r="K13" s="78"/>
      <c r="L13" s="78"/>
      <c r="M13" s="78"/>
      <c r="N13" s="78"/>
    </row>
    <row r="14" spans="2:14" ht="19.5" customHeight="1" x14ac:dyDescent="0.3">
      <c r="B14" s="79" t="s">
        <v>75</v>
      </c>
      <c r="C14" s="79"/>
      <c r="D14" s="79"/>
      <c r="E14" s="80" t="s">
        <v>76</v>
      </c>
      <c r="F14" s="80"/>
      <c r="G14" s="80"/>
      <c r="I14" s="79" t="s">
        <v>75</v>
      </c>
      <c r="J14" s="79"/>
      <c r="K14" s="79"/>
      <c r="L14" s="80" t="s">
        <v>77</v>
      </c>
      <c r="M14" s="80"/>
      <c r="N14" s="80"/>
    </row>
    <row r="15" spans="2:14" ht="19.5" customHeight="1" x14ac:dyDescent="0.3">
      <c r="B15" s="81" t="s">
        <v>78</v>
      </c>
      <c r="C15" s="81"/>
      <c r="D15" s="81"/>
      <c r="E15" s="82" t="s">
        <v>79</v>
      </c>
      <c r="F15" s="82"/>
      <c r="G15" s="82"/>
      <c r="I15" s="81" t="s">
        <v>78</v>
      </c>
      <c r="J15" s="81"/>
      <c r="K15" s="81"/>
      <c r="L15" s="82" t="s">
        <v>80</v>
      </c>
      <c r="M15" s="82"/>
      <c r="N15" s="82"/>
    </row>
    <row r="16" spans="2:14" ht="19.5" customHeight="1" x14ac:dyDescent="0.3">
      <c r="B16" s="79" t="s">
        <v>81</v>
      </c>
      <c r="C16" s="79"/>
      <c r="D16" s="79"/>
      <c r="E16" s="80" t="s">
        <v>82</v>
      </c>
      <c r="F16" s="80"/>
      <c r="G16" s="80"/>
      <c r="I16" s="79" t="s">
        <v>81</v>
      </c>
      <c r="J16" s="79"/>
      <c r="K16" s="79"/>
      <c r="L16" s="80" t="s">
        <v>83</v>
      </c>
      <c r="M16" s="80"/>
      <c r="N16" s="80"/>
    </row>
    <row r="17" spans="2:14" ht="19.5" customHeight="1" x14ac:dyDescent="0.3">
      <c r="B17" s="81" t="s">
        <v>84</v>
      </c>
      <c r="C17" s="81"/>
      <c r="D17" s="81"/>
      <c r="E17" s="82" t="s">
        <v>85</v>
      </c>
      <c r="F17" s="82"/>
      <c r="G17" s="82"/>
      <c r="I17" s="81" t="s">
        <v>84</v>
      </c>
      <c r="J17" s="81"/>
      <c r="K17" s="81"/>
      <c r="L17" s="82" t="s">
        <v>86</v>
      </c>
      <c r="M17" s="82"/>
      <c r="N17" s="82"/>
    </row>
    <row r="18" spans="2:14" ht="19.5" customHeight="1" x14ac:dyDescent="0.3">
      <c r="B18" s="79" t="s">
        <v>87</v>
      </c>
      <c r="C18" s="79"/>
      <c r="D18" s="79"/>
      <c r="E18" s="80" t="s">
        <v>88</v>
      </c>
      <c r="F18" s="80"/>
      <c r="G18" s="80"/>
      <c r="I18" s="79" t="s">
        <v>87</v>
      </c>
      <c r="J18" s="79"/>
      <c r="K18" s="79"/>
      <c r="L18" s="80" t="s">
        <v>89</v>
      </c>
      <c r="M18" s="80"/>
      <c r="N18" s="80"/>
    </row>
    <row r="19" spans="2:14" ht="19.5" customHeight="1" x14ac:dyDescent="0.3">
      <c r="B19" s="81" t="s">
        <v>90</v>
      </c>
      <c r="C19" s="81"/>
      <c r="D19" s="81"/>
      <c r="E19" s="82" t="s">
        <v>91</v>
      </c>
      <c r="F19" s="82"/>
      <c r="G19" s="82"/>
      <c r="I19" s="81" t="s">
        <v>90</v>
      </c>
      <c r="J19" s="81"/>
      <c r="K19" s="81"/>
      <c r="L19" s="82" t="s">
        <v>92</v>
      </c>
      <c r="M19" s="82"/>
      <c r="N19" s="82"/>
    </row>
    <row r="20" spans="2:14" ht="19.5" customHeight="1" x14ac:dyDescent="0.3">
      <c r="B20" s="79" t="s">
        <v>93</v>
      </c>
      <c r="C20" s="79"/>
      <c r="D20" s="79"/>
      <c r="E20" s="80" t="s">
        <v>94</v>
      </c>
      <c r="F20" s="80"/>
      <c r="G20" s="80"/>
      <c r="I20" s="79" t="s">
        <v>93</v>
      </c>
      <c r="J20" s="79"/>
      <c r="K20" s="79"/>
      <c r="L20" s="80" t="s">
        <v>95</v>
      </c>
      <c r="M20" s="80"/>
      <c r="N20" s="80"/>
    </row>
    <row r="21" spans="2:14" ht="19.5" customHeight="1" x14ac:dyDescent="0.3">
      <c r="B21" s="81" t="s">
        <v>96</v>
      </c>
      <c r="C21" s="81"/>
      <c r="D21" s="81"/>
      <c r="E21" s="82" t="s">
        <v>97</v>
      </c>
      <c r="F21" s="82"/>
      <c r="G21" s="82"/>
      <c r="I21" s="81" t="s">
        <v>96</v>
      </c>
      <c r="J21" s="81"/>
      <c r="K21" s="81"/>
      <c r="L21" s="82" t="s">
        <v>98</v>
      </c>
      <c r="M21" s="82"/>
      <c r="N21" s="82"/>
    </row>
    <row r="22" spans="2:14" ht="19.5" customHeight="1" x14ac:dyDescent="0.3"/>
    <row r="23" spans="2:14" ht="19.5" customHeight="1" x14ac:dyDescent="0.3">
      <c r="B23" s="83" t="s">
        <v>99</v>
      </c>
      <c r="C23" s="83"/>
      <c r="D23" s="83"/>
      <c r="E23" s="83"/>
      <c r="F23" s="83"/>
      <c r="G23" s="83"/>
      <c r="I23" s="84" t="s">
        <v>100</v>
      </c>
      <c r="J23" s="84"/>
      <c r="K23" s="84"/>
      <c r="L23" s="84"/>
      <c r="M23" s="84"/>
      <c r="N23" s="84"/>
    </row>
    <row r="24" spans="2:14" ht="19.5" customHeight="1" x14ac:dyDescent="0.3"/>
    <row r="25" spans="2:14" ht="19.5" customHeight="1" x14ac:dyDescent="0.3"/>
    <row r="26" spans="2:14" ht="19.5" customHeight="1" x14ac:dyDescent="0.3"/>
    <row r="27" spans="2:14" ht="19.5" customHeight="1" x14ac:dyDescent="0.3"/>
    <row r="28" spans="2:14" ht="19.5" customHeight="1" x14ac:dyDescent="0.3"/>
    <row r="29" spans="2:14" ht="19.5" customHeight="1" x14ac:dyDescent="0.3"/>
    <row r="30" spans="2:14" ht="19.5" customHeight="1" x14ac:dyDescent="0.3"/>
    <row r="31" spans="2:14" ht="19.5" customHeight="1" x14ac:dyDescent="0.3"/>
    <row r="32" spans="2:14" ht="19.5" customHeight="1" x14ac:dyDescent="0.3"/>
    <row r="33" ht="19.5" customHeight="1" x14ac:dyDescent="0.3"/>
    <row r="34" ht="19.5" customHeight="1" x14ac:dyDescent="0.3"/>
    <row r="35" ht="19.5" customHeight="1" x14ac:dyDescent="0.3"/>
    <row r="36" ht="19.5" customHeight="1" x14ac:dyDescent="0.3"/>
    <row r="37" ht="19.5" customHeight="1" x14ac:dyDescent="0.3"/>
    <row r="38" ht="19.5" customHeight="1" x14ac:dyDescent="0.3"/>
    <row r="39" ht="19.5" customHeight="1" x14ac:dyDescent="0.3"/>
    <row r="40" ht="19.5" customHeight="1" x14ac:dyDescent="0.3"/>
    <row r="41" ht="19.5" customHeight="1" x14ac:dyDescent="0.3"/>
    <row r="42" ht="19.5" customHeight="1" x14ac:dyDescent="0.3"/>
    <row r="43" ht="19.5" customHeight="1" x14ac:dyDescent="0.3"/>
    <row r="44" ht="19.5" customHeight="1" x14ac:dyDescent="0.3"/>
    <row r="45" ht="19.5" customHeight="1" x14ac:dyDescent="0.3"/>
    <row r="46" ht="19.5" customHeight="1" x14ac:dyDescent="0.3"/>
    <row r="47" ht="19.5" customHeight="1" x14ac:dyDescent="0.3"/>
    <row r="48" ht="19.5" customHeight="1" x14ac:dyDescent="0.3"/>
    <row r="49" ht="19.5" customHeight="1" x14ac:dyDescent="0.3"/>
    <row r="50" ht="19.5" customHeight="1" x14ac:dyDescent="0.3"/>
    <row r="51" ht="19.5" customHeight="1" x14ac:dyDescent="0.3"/>
    <row r="52" ht="19.5" customHeight="1" x14ac:dyDescent="0.3"/>
    <row r="53" ht="19.5" customHeight="1" x14ac:dyDescent="0.3"/>
    <row r="54" ht="19.5" customHeight="1" x14ac:dyDescent="0.3"/>
    <row r="55" ht="19.5" customHeight="1" x14ac:dyDescent="0.3"/>
    <row r="56" ht="19.5" customHeight="1" x14ac:dyDescent="0.3"/>
    <row r="57" ht="19.5" customHeight="1" x14ac:dyDescent="0.3"/>
    <row r="58" ht="19.5" customHeight="1" x14ac:dyDescent="0.3"/>
    <row r="59" ht="19.5" customHeight="1" x14ac:dyDescent="0.3"/>
  </sheetData>
  <mergeCells count="40">
    <mergeCell ref="B23:G23"/>
    <mergeCell ref="I23:N23"/>
    <mergeCell ref="B20:D20"/>
    <mergeCell ref="E20:G20"/>
    <mergeCell ref="I20:K20"/>
    <mergeCell ref="L20:N20"/>
    <mergeCell ref="B21:D21"/>
    <mergeCell ref="E21:G21"/>
    <mergeCell ref="I21:K21"/>
    <mergeCell ref="L21:N21"/>
    <mergeCell ref="B18:D18"/>
    <mergeCell ref="E18:G18"/>
    <mergeCell ref="I18:K18"/>
    <mergeCell ref="L18:N18"/>
    <mergeCell ref="B19:D19"/>
    <mergeCell ref="E19:G19"/>
    <mergeCell ref="I19:K19"/>
    <mergeCell ref="L19:N19"/>
    <mergeCell ref="B16:D16"/>
    <mergeCell ref="E16:G16"/>
    <mergeCell ref="I16:K16"/>
    <mergeCell ref="L16:N16"/>
    <mergeCell ref="B17:D17"/>
    <mergeCell ref="E17:G17"/>
    <mergeCell ref="I17:K17"/>
    <mergeCell ref="L17:N17"/>
    <mergeCell ref="B14:D14"/>
    <mergeCell ref="E14:G14"/>
    <mergeCell ref="I14:K14"/>
    <mergeCell ref="L14:N14"/>
    <mergeCell ref="B15:D15"/>
    <mergeCell ref="E15:G15"/>
    <mergeCell ref="I15:K15"/>
    <mergeCell ref="L15:N15"/>
    <mergeCell ref="B1:G1"/>
    <mergeCell ref="I1:N1"/>
    <mergeCell ref="B2:G2"/>
    <mergeCell ref="I2:N2"/>
    <mergeCell ref="B13:G13"/>
    <mergeCell ref="I13:N1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9"/>
  <sheetViews>
    <sheetView showGridLines="0" zoomScaleNormal="100" workbookViewId="0"/>
  </sheetViews>
  <sheetFormatPr defaultColWidth="8.6640625" defaultRowHeight="14.4" x14ac:dyDescent="0.3"/>
  <cols>
    <col min="1" max="11" width="18" customWidth="1"/>
  </cols>
  <sheetData>
    <row r="1" spans="1:11" ht="19.5" customHeight="1" x14ac:dyDescent="0.3">
      <c r="A1" s="76" t="s">
        <v>101</v>
      </c>
      <c r="B1" s="76"/>
      <c r="C1" s="76"/>
      <c r="D1" s="76"/>
      <c r="E1" s="76"/>
      <c r="F1" s="76"/>
      <c r="G1" s="76"/>
      <c r="H1" s="76"/>
      <c r="I1" s="76"/>
      <c r="J1" s="76"/>
      <c r="K1" s="76"/>
    </row>
    <row r="2" spans="1:11" ht="19.5" customHeight="1" x14ac:dyDescent="0.3"/>
    <row r="3" spans="1:11" ht="19.5" customHeight="1" x14ac:dyDescent="0.3">
      <c r="A3" s="77" t="s">
        <v>102</v>
      </c>
      <c r="B3" s="77"/>
      <c r="C3" s="77"/>
      <c r="D3" s="77"/>
      <c r="E3" s="77"/>
      <c r="F3" s="77"/>
      <c r="G3" s="77"/>
      <c r="H3" s="77"/>
      <c r="I3" s="77"/>
      <c r="J3" s="77"/>
      <c r="K3" s="77"/>
    </row>
    <row r="4" spans="1:11" ht="19.5" customHeight="1" x14ac:dyDescent="0.3">
      <c r="A4" s="23" t="s">
        <v>103</v>
      </c>
      <c r="B4" s="23" t="s">
        <v>104</v>
      </c>
      <c r="C4" s="23" t="s">
        <v>105</v>
      </c>
      <c r="D4" s="23" t="s">
        <v>106</v>
      </c>
      <c r="E4" s="23" t="s">
        <v>107</v>
      </c>
      <c r="F4" s="23" t="s">
        <v>108</v>
      </c>
      <c r="G4" s="23" t="s">
        <v>109</v>
      </c>
      <c r="H4" s="85" t="s">
        <v>110</v>
      </c>
      <c r="I4" s="85"/>
      <c r="J4" s="85"/>
      <c r="K4" s="85"/>
    </row>
    <row r="5" spans="1:11" ht="19.5" customHeight="1" x14ac:dyDescent="0.3">
      <c r="A5" s="39" t="s">
        <v>111</v>
      </c>
      <c r="B5" s="43">
        <v>278454</v>
      </c>
      <c r="C5" s="43">
        <v>345967</v>
      </c>
      <c r="D5" s="43">
        <v>437928</v>
      </c>
      <c r="E5" s="44">
        <f t="shared" ref="E5:F7" si="0">(C5-B5)/B5</f>
        <v>0.24245656374122834</v>
      </c>
      <c r="F5" s="44">
        <f t="shared" si="0"/>
        <v>0.26580858868042329</v>
      </c>
      <c r="G5" s="44">
        <f>((D5/B5)^(1/2))-1</f>
        <v>0.25407822301721383</v>
      </c>
      <c r="H5" s="86" t="s">
        <v>112</v>
      </c>
      <c r="I5" s="86"/>
      <c r="J5" s="86"/>
      <c r="K5" s="86"/>
    </row>
    <row r="6" spans="1:11" ht="19.5" customHeight="1" x14ac:dyDescent="0.3">
      <c r="A6" s="41" t="s">
        <v>113</v>
      </c>
      <c r="B6" s="45">
        <v>22600</v>
      </c>
      <c r="C6" s="45">
        <v>38200</v>
      </c>
      <c r="D6" s="45">
        <v>64800</v>
      </c>
      <c r="E6" s="46">
        <f t="shared" si="0"/>
        <v>0.69026548672566368</v>
      </c>
      <c r="F6" s="46">
        <f t="shared" si="0"/>
        <v>0.69633507853403143</v>
      </c>
      <c r="G6" s="46">
        <f>((D6/B6)^(1/2))-1</f>
        <v>0.69329756309047519</v>
      </c>
      <c r="H6" s="87" t="s">
        <v>114</v>
      </c>
      <c r="I6" s="87"/>
      <c r="J6" s="87"/>
      <c r="K6" s="87"/>
    </row>
    <row r="7" spans="1:11" ht="19.5" customHeight="1" x14ac:dyDescent="0.3">
      <c r="A7" s="39" t="s">
        <v>115</v>
      </c>
      <c r="B7" s="43">
        <v>10500</v>
      </c>
      <c r="C7" s="43">
        <v>23100</v>
      </c>
      <c r="D7" s="43">
        <v>49500</v>
      </c>
      <c r="E7" s="44">
        <f t="shared" si="0"/>
        <v>1.2</v>
      </c>
      <c r="F7" s="44">
        <f t="shared" si="0"/>
        <v>1.1428571428571428</v>
      </c>
      <c r="G7" s="44">
        <f>((D7/B7)^(1/2))-1</f>
        <v>1.1712405933672376</v>
      </c>
      <c r="H7" s="86"/>
      <c r="I7" s="86"/>
      <c r="J7" s="86"/>
      <c r="K7" s="86"/>
    </row>
    <row r="8" spans="1:11" ht="19.5" customHeight="1" x14ac:dyDescent="0.3">
      <c r="A8" s="41" t="s">
        <v>116</v>
      </c>
      <c r="B8" s="45">
        <v>-11309</v>
      </c>
      <c r="C8" s="45">
        <v>2690</v>
      </c>
      <c r="D8" s="45">
        <v>31807</v>
      </c>
      <c r="E8" s="42" t="s">
        <v>117</v>
      </c>
      <c r="F8" s="46">
        <f t="shared" ref="F8:F13" si="1">(D8-C8)/C8</f>
        <v>10.824163568773233</v>
      </c>
      <c r="G8" s="42" t="s">
        <v>118</v>
      </c>
      <c r="H8" s="87" t="s">
        <v>119</v>
      </c>
      <c r="I8" s="87"/>
      <c r="J8" s="87"/>
      <c r="K8" s="87"/>
    </row>
    <row r="9" spans="1:11" ht="19.5" customHeight="1" x14ac:dyDescent="0.3">
      <c r="A9" s="39" t="s">
        <v>120</v>
      </c>
      <c r="B9" s="43">
        <v>289763</v>
      </c>
      <c r="C9" s="43">
        <v>343277</v>
      </c>
      <c r="D9" s="43">
        <v>406121</v>
      </c>
      <c r="E9" s="44">
        <f>(C9-B9)/B9</f>
        <v>0.18468196422593636</v>
      </c>
      <c r="F9" s="44">
        <f t="shared" si="1"/>
        <v>0.18307081453170471</v>
      </c>
      <c r="G9" s="44">
        <f>((D9/B9)^(1/2))-1</f>
        <v>0.18387611529999126</v>
      </c>
      <c r="H9" s="86"/>
      <c r="I9" s="86"/>
      <c r="J9" s="86"/>
      <c r="K9" s="86"/>
    </row>
    <row r="10" spans="1:11" ht="19.5" customHeight="1" x14ac:dyDescent="0.3">
      <c r="A10" s="41" t="s">
        <v>90</v>
      </c>
      <c r="B10" s="45">
        <v>-30.84</v>
      </c>
      <c r="C10" s="45">
        <v>7.22</v>
      </c>
      <c r="D10" s="45">
        <v>85.14</v>
      </c>
      <c r="E10" s="42" t="s">
        <v>118</v>
      </c>
      <c r="F10" s="46">
        <f t="shared" si="1"/>
        <v>10.792243767313019</v>
      </c>
      <c r="G10" s="42" t="s">
        <v>118</v>
      </c>
      <c r="H10" s="87"/>
      <c r="I10" s="87"/>
      <c r="J10" s="87"/>
      <c r="K10" s="87"/>
    </row>
    <row r="11" spans="1:11" ht="19.5" customHeight="1" x14ac:dyDescent="0.3">
      <c r="A11" s="39" t="s">
        <v>121</v>
      </c>
      <c r="B11" s="43">
        <v>398574</v>
      </c>
      <c r="C11" s="43">
        <v>446700</v>
      </c>
      <c r="D11" s="43">
        <v>502300</v>
      </c>
      <c r="E11" s="44">
        <f>(C11-B11)/B11</f>
        <v>0.1207454575561878</v>
      </c>
      <c r="F11" s="44">
        <f t="shared" si="1"/>
        <v>0.12446832325945825</v>
      </c>
      <c r="G11" s="44">
        <f>((D11/B11)^(1/2))-1</f>
        <v>0.12260534715404803</v>
      </c>
      <c r="H11" s="86"/>
      <c r="I11" s="86"/>
      <c r="J11" s="86"/>
      <c r="K11" s="86"/>
    </row>
    <row r="12" spans="1:11" ht="19.5" customHeight="1" x14ac:dyDescent="0.3">
      <c r="A12" s="41" t="s">
        <v>122</v>
      </c>
      <c r="B12" s="45">
        <v>108000</v>
      </c>
      <c r="C12" s="45">
        <v>89000</v>
      </c>
      <c r="D12" s="45">
        <v>62000</v>
      </c>
      <c r="E12" s="46">
        <f>(C12-B12)/B12</f>
        <v>-0.17592592592592593</v>
      </c>
      <c r="F12" s="46">
        <f t="shared" si="1"/>
        <v>-0.30337078651685395</v>
      </c>
      <c r="G12" s="46">
        <f>((D12/B12)^(1/2))-1</f>
        <v>-0.24232323905634134</v>
      </c>
      <c r="H12" s="87" t="s">
        <v>123</v>
      </c>
      <c r="I12" s="87"/>
      <c r="J12" s="87"/>
      <c r="K12" s="87"/>
    </row>
    <row r="13" spans="1:11" ht="19.5" customHeight="1" x14ac:dyDescent="0.3">
      <c r="A13" s="39" t="s">
        <v>124</v>
      </c>
      <c r="B13" s="43">
        <v>-5400</v>
      </c>
      <c r="C13" s="43">
        <v>18200</v>
      </c>
      <c r="D13" s="43">
        <v>42300</v>
      </c>
      <c r="E13" s="40" t="s">
        <v>118</v>
      </c>
      <c r="F13" s="44">
        <f t="shared" si="1"/>
        <v>1.3241758241758241</v>
      </c>
      <c r="G13" s="40" t="s">
        <v>118</v>
      </c>
      <c r="H13" s="86" t="s">
        <v>125</v>
      </c>
      <c r="I13" s="86"/>
      <c r="J13" s="86"/>
      <c r="K13" s="86"/>
    </row>
    <row r="14" spans="1:11" ht="19.5" customHeight="1" x14ac:dyDescent="0.3">
      <c r="A14" s="41" t="s">
        <v>126</v>
      </c>
      <c r="B14" s="45">
        <v>0</v>
      </c>
      <c r="C14" s="45">
        <v>0</v>
      </c>
      <c r="D14" s="45">
        <v>3</v>
      </c>
      <c r="E14" s="42" t="s">
        <v>118</v>
      </c>
      <c r="F14" s="42" t="s">
        <v>118</v>
      </c>
      <c r="G14" s="42" t="s">
        <v>118</v>
      </c>
      <c r="H14" s="87" t="s">
        <v>127</v>
      </c>
      <c r="I14" s="87"/>
      <c r="J14" s="87"/>
      <c r="K14" s="87"/>
    </row>
    <row r="15" spans="1:11" ht="19.5" customHeight="1" x14ac:dyDescent="0.3"/>
    <row r="16" spans="1:11" ht="19.5" customHeight="1" x14ac:dyDescent="0.3"/>
    <row r="17" spans="1:11" ht="19.5" customHeight="1" x14ac:dyDescent="0.3">
      <c r="A17" s="78" t="s">
        <v>128</v>
      </c>
      <c r="B17" s="78"/>
      <c r="C17" s="78"/>
      <c r="D17" s="78"/>
      <c r="E17" s="78"/>
      <c r="F17" s="78"/>
      <c r="G17" s="78"/>
      <c r="H17" s="78"/>
      <c r="I17" s="78"/>
      <c r="J17" s="78"/>
      <c r="K17" s="78"/>
    </row>
    <row r="18" spans="1:11" ht="19.5" customHeight="1" x14ac:dyDescent="0.3">
      <c r="A18" s="23" t="s">
        <v>103</v>
      </c>
      <c r="B18" s="23" t="s">
        <v>104</v>
      </c>
      <c r="C18" s="23" t="s">
        <v>105</v>
      </c>
      <c r="D18" s="23" t="s">
        <v>106</v>
      </c>
      <c r="E18" s="23" t="s">
        <v>107</v>
      </c>
      <c r="F18" s="23" t="s">
        <v>108</v>
      </c>
      <c r="G18" s="23" t="s">
        <v>109</v>
      </c>
      <c r="H18" s="85" t="s">
        <v>110</v>
      </c>
      <c r="I18" s="85"/>
      <c r="J18" s="85"/>
      <c r="K18" s="85"/>
    </row>
    <row r="19" spans="1:11" ht="19.5" customHeight="1" x14ac:dyDescent="0.3">
      <c r="A19" s="39" t="s">
        <v>129</v>
      </c>
      <c r="B19" s="43">
        <v>75687</v>
      </c>
      <c r="C19" s="43">
        <v>82451</v>
      </c>
      <c r="D19" s="43">
        <v>89540</v>
      </c>
      <c r="E19" s="44">
        <f t="shared" ref="E19:F26" si="2">(C20-B20)/B20</f>
        <v>7.5596816976127315E-2</v>
      </c>
      <c r="F19" s="44">
        <f t="shared" si="2"/>
        <v>5.0554870530209621E-2</v>
      </c>
      <c r="G19" s="44">
        <f t="shared" ref="G19:G26" si="3">((D20/B20)^(1/2))-1</f>
        <v>6.3002104796157532E-2</v>
      </c>
      <c r="H19" s="86" t="s">
        <v>130</v>
      </c>
      <c r="I19" s="86"/>
      <c r="J19" s="86"/>
      <c r="K19" s="86"/>
    </row>
    <row r="20" spans="1:11" ht="19.5" customHeight="1" x14ac:dyDescent="0.3">
      <c r="A20" s="41" t="s">
        <v>131</v>
      </c>
      <c r="B20" s="45">
        <v>754</v>
      </c>
      <c r="C20" s="45">
        <v>811</v>
      </c>
      <c r="D20" s="45">
        <v>852</v>
      </c>
      <c r="E20" s="46">
        <f t="shared" si="2"/>
        <v>0.1019348749410099</v>
      </c>
      <c r="F20" s="46">
        <f t="shared" si="2"/>
        <v>0.18843683083511778</v>
      </c>
      <c r="G20" s="46">
        <f t="shared" si="3"/>
        <v>0.14436881754161135</v>
      </c>
      <c r="H20" s="87" t="s">
        <v>132</v>
      </c>
      <c r="I20" s="87"/>
      <c r="J20" s="87"/>
      <c r="K20" s="87"/>
    </row>
    <row r="21" spans="1:11" ht="19.5" customHeight="1" x14ac:dyDescent="0.3">
      <c r="A21" s="39" t="s">
        <v>133</v>
      </c>
      <c r="B21" s="43">
        <v>2119</v>
      </c>
      <c r="C21" s="43">
        <v>2335</v>
      </c>
      <c r="D21" s="43">
        <v>2775</v>
      </c>
      <c r="E21" s="44">
        <f t="shared" si="2"/>
        <v>4.7278529637728266E-3</v>
      </c>
      <c r="F21" s="44">
        <f t="shared" si="2"/>
        <v>8.7641903417446029E-2</v>
      </c>
      <c r="G21" s="44">
        <f t="shared" si="3"/>
        <v>4.5363149538973246E-2</v>
      </c>
      <c r="H21" s="86" t="s">
        <v>134</v>
      </c>
      <c r="I21" s="86"/>
      <c r="J21" s="86"/>
      <c r="K21" s="86"/>
    </row>
    <row r="22" spans="1:11" ht="19.5" customHeight="1" x14ac:dyDescent="0.3">
      <c r="A22" s="41" t="s">
        <v>135</v>
      </c>
      <c r="B22" s="45">
        <v>16921</v>
      </c>
      <c r="C22" s="45">
        <v>17001</v>
      </c>
      <c r="D22" s="45">
        <v>18491</v>
      </c>
      <c r="E22" s="46">
        <f t="shared" si="2"/>
        <v>0.10546875</v>
      </c>
      <c r="F22" s="46">
        <f t="shared" si="2"/>
        <v>0.10247349823321555</v>
      </c>
      <c r="G22" s="46">
        <f t="shared" si="3"/>
        <v>0.10397010829098097</v>
      </c>
      <c r="H22" s="87"/>
      <c r="I22" s="87"/>
      <c r="J22" s="87"/>
      <c r="K22" s="87"/>
    </row>
    <row r="23" spans="1:11" ht="19.5" customHeight="1" x14ac:dyDescent="0.3">
      <c r="A23" s="39" t="s">
        <v>136</v>
      </c>
      <c r="B23" s="43">
        <v>256000</v>
      </c>
      <c r="C23" s="43">
        <v>283000</v>
      </c>
      <c r="D23" s="43">
        <v>312000</v>
      </c>
      <c r="E23" s="44">
        <f t="shared" si="2"/>
        <v>7.4285714285714219E-2</v>
      </c>
      <c r="F23" s="44">
        <f t="shared" si="2"/>
        <v>5.319148936170226E-2</v>
      </c>
      <c r="G23" s="44">
        <f t="shared" si="3"/>
        <v>6.3686312513502097E-2</v>
      </c>
      <c r="H23" s="86" t="s">
        <v>137</v>
      </c>
      <c r="I23" s="86"/>
      <c r="J23" s="86"/>
      <c r="K23" s="86"/>
    </row>
    <row r="24" spans="1:11" ht="19.5" customHeight="1" x14ac:dyDescent="0.3">
      <c r="A24" s="41" t="s">
        <v>90</v>
      </c>
      <c r="B24" s="45">
        <v>5.25</v>
      </c>
      <c r="C24" s="45">
        <v>5.64</v>
      </c>
      <c r="D24" s="45">
        <v>5.94</v>
      </c>
      <c r="E24" s="46">
        <f t="shared" si="2"/>
        <v>0.13768115942028986</v>
      </c>
      <c r="F24" s="46">
        <f t="shared" si="2"/>
        <v>0.13057324840764331</v>
      </c>
      <c r="G24" s="46">
        <f t="shared" si="3"/>
        <v>0.13412163547741685</v>
      </c>
      <c r="H24" s="87"/>
      <c r="I24" s="87"/>
      <c r="J24" s="87"/>
      <c r="K24" s="87"/>
    </row>
    <row r="25" spans="1:11" ht="19.5" customHeight="1" x14ac:dyDescent="0.3">
      <c r="A25" s="39" t="s">
        <v>121</v>
      </c>
      <c r="B25" s="43">
        <v>276000</v>
      </c>
      <c r="C25" s="43">
        <v>314000</v>
      </c>
      <c r="D25" s="43">
        <v>355000</v>
      </c>
      <c r="E25" s="44">
        <f t="shared" si="2"/>
        <v>0.30000000000000004</v>
      </c>
      <c r="F25" s="44">
        <f t="shared" si="2"/>
        <v>0.3076923076923076</v>
      </c>
      <c r="G25" s="44">
        <f t="shared" si="3"/>
        <v>0.30384048104052974</v>
      </c>
      <c r="H25" s="86"/>
      <c r="I25" s="86"/>
      <c r="J25" s="86"/>
      <c r="K25" s="86"/>
    </row>
    <row r="26" spans="1:11" ht="19.5" customHeight="1" x14ac:dyDescent="0.3">
      <c r="A26" s="41" t="s">
        <v>126</v>
      </c>
      <c r="B26" s="45">
        <v>0.5</v>
      </c>
      <c r="C26" s="45">
        <v>0.65</v>
      </c>
      <c r="D26" s="45">
        <v>0.85</v>
      </c>
      <c r="E26" s="46">
        <f t="shared" si="2"/>
        <v>8.1799591002044703E-3</v>
      </c>
      <c r="F26" s="46">
        <f t="shared" si="2"/>
        <v>6.0851926977688493E-3</v>
      </c>
      <c r="G26" s="46">
        <f t="shared" si="3"/>
        <v>7.132031277606643E-3</v>
      </c>
      <c r="H26" s="87" t="s">
        <v>138</v>
      </c>
      <c r="I26" s="87"/>
      <c r="J26" s="87"/>
      <c r="K26" s="87"/>
    </row>
    <row r="27" spans="1:11" ht="19.5" customHeight="1" x14ac:dyDescent="0.3">
      <c r="A27" s="39" t="s">
        <v>139</v>
      </c>
      <c r="B27" s="43">
        <v>97.8</v>
      </c>
      <c r="C27" s="43">
        <v>98.6</v>
      </c>
      <c r="D27" s="43">
        <v>99.2</v>
      </c>
      <c r="E27" s="47">
        <f>(C27-B27)/B27</f>
        <v>8.1799591002044703E-3</v>
      </c>
      <c r="F27" s="47">
        <f>(D27-C27)/C27</f>
        <v>6.0851926977688493E-3</v>
      </c>
      <c r="G27" s="47">
        <f>((D27/B27)^(1/2))-1</f>
        <v>7.132031277606643E-3</v>
      </c>
      <c r="H27" s="86" t="s">
        <v>140</v>
      </c>
      <c r="I27" s="86"/>
      <c r="J27" s="86"/>
      <c r="K27" s="86"/>
    </row>
    <row r="28" spans="1:11" ht="19.5" customHeight="1" x14ac:dyDescent="0.3"/>
    <row r="29" spans="1:11" ht="19.5" customHeight="1" x14ac:dyDescent="0.3">
      <c r="A29" s="88" t="s">
        <v>141</v>
      </c>
      <c r="B29" s="88"/>
      <c r="C29" s="88"/>
      <c r="D29" s="88"/>
      <c r="E29" s="88"/>
      <c r="F29" s="88"/>
      <c r="G29" s="88"/>
      <c r="H29" s="88"/>
      <c r="I29" s="88"/>
      <c r="J29" s="88"/>
      <c r="K29" s="88"/>
    </row>
    <row r="30" spans="1:11" ht="19.5" customHeight="1" x14ac:dyDescent="0.3"/>
    <row r="31" spans="1:11" ht="19.5" customHeight="1" x14ac:dyDescent="0.3"/>
    <row r="32" spans="1:11" ht="19.5" customHeight="1" x14ac:dyDescent="0.3"/>
    <row r="33" ht="19.5" customHeight="1" x14ac:dyDescent="0.3"/>
    <row r="34" ht="19.5" customHeight="1" x14ac:dyDescent="0.3"/>
    <row r="35" ht="19.5" customHeight="1" x14ac:dyDescent="0.3"/>
    <row r="36" ht="19.5" customHeight="1" x14ac:dyDescent="0.3"/>
    <row r="37" ht="19.5" customHeight="1" x14ac:dyDescent="0.3"/>
    <row r="38" ht="19.5" customHeight="1" x14ac:dyDescent="0.3"/>
    <row r="39" ht="19.5" customHeight="1" x14ac:dyDescent="0.3"/>
    <row r="40" ht="19.5" customHeight="1" x14ac:dyDescent="0.3"/>
    <row r="41" ht="19.5" customHeight="1" x14ac:dyDescent="0.3"/>
    <row r="42" ht="19.5" customHeight="1" x14ac:dyDescent="0.3"/>
    <row r="43" ht="19.5" customHeight="1" x14ac:dyDescent="0.3"/>
    <row r="44" ht="19.5" customHeight="1" x14ac:dyDescent="0.3"/>
    <row r="45" ht="19.5" customHeight="1" x14ac:dyDescent="0.3"/>
    <row r="46" ht="19.5" customHeight="1" x14ac:dyDescent="0.3"/>
    <row r="47" ht="19.5" customHeight="1" x14ac:dyDescent="0.3"/>
    <row r="48" ht="19.5" customHeight="1" x14ac:dyDescent="0.3"/>
    <row r="49" ht="19.5" customHeight="1" x14ac:dyDescent="0.3"/>
    <row r="50" ht="19.5" customHeight="1" x14ac:dyDescent="0.3"/>
    <row r="51" ht="19.5" customHeight="1" x14ac:dyDescent="0.3"/>
    <row r="52" ht="19.5" customHeight="1" x14ac:dyDescent="0.3"/>
    <row r="53" ht="19.5" customHeight="1" x14ac:dyDescent="0.3"/>
    <row r="54" ht="19.5" customHeight="1" x14ac:dyDescent="0.3"/>
    <row r="55" ht="19.5" customHeight="1" x14ac:dyDescent="0.3"/>
    <row r="56" ht="19.5" customHeight="1" x14ac:dyDescent="0.3"/>
    <row r="57" ht="19.5" customHeight="1" x14ac:dyDescent="0.3"/>
    <row r="58" ht="19.5" customHeight="1" x14ac:dyDescent="0.3"/>
    <row r="59" ht="19.5" customHeight="1" x14ac:dyDescent="0.3"/>
  </sheetData>
  <mergeCells count="25">
    <mergeCell ref="H24:K24"/>
    <mergeCell ref="H25:K25"/>
    <mergeCell ref="H26:K26"/>
    <mergeCell ref="H27:K27"/>
    <mergeCell ref="A29:K29"/>
    <mergeCell ref="H19:K19"/>
    <mergeCell ref="H20:K20"/>
    <mergeCell ref="H21:K21"/>
    <mergeCell ref="H22:K22"/>
    <mergeCell ref="H23:K23"/>
    <mergeCell ref="H12:K12"/>
    <mergeCell ref="H13:K13"/>
    <mergeCell ref="H14:K14"/>
    <mergeCell ref="A17:K17"/>
    <mergeCell ref="H18:K18"/>
    <mergeCell ref="H7:K7"/>
    <mergeCell ref="H8:K8"/>
    <mergeCell ref="H9:K9"/>
    <mergeCell ref="H10:K10"/>
    <mergeCell ref="H11:K11"/>
    <mergeCell ref="A1:K1"/>
    <mergeCell ref="A3:K3"/>
    <mergeCell ref="H4:K4"/>
    <mergeCell ref="H5:K5"/>
    <mergeCell ref="H6:K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9"/>
  <sheetViews>
    <sheetView showGridLines="0" zoomScaleNormal="100" workbookViewId="0"/>
  </sheetViews>
  <sheetFormatPr defaultColWidth="8.6640625" defaultRowHeight="14.4" x14ac:dyDescent="0.3"/>
  <cols>
    <col min="1" max="13" width="17" customWidth="1"/>
  </cols>
  <sheetData>
    <row r="1" spans="1:13" ht="19.5" customHeight="1" x14ac:dyDescent="0.3">
      <c r="A1" s="76" t="s">
        <v>142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</row>
    <row r="2" spans="1:13" ht="19.5" customHeight="1" x14ac:dyDescent="0.3"/>
    <row r="3" spans="1:13" ht="19.5" customHeight="1" x14ac:dyDescent="0.3">
      <c r="A3" s="77" t="s">
        <v>143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</row>
    <row r="4" spans="1:13" ht="19.5" customHeight="1" x14ac:dyDescent="0.3">
      <c r="A4" s="48" t="s">
        <v>144</v>
      </c>
      <c r="B4" s="48" t="s">
        <v>145</v>
      </c>
      <c r="C4" s="48" t="s">
        <v>146</v>
      </c>
      <c r="D4" s="48" t="s">
        <v>147</v>
      </c>
      <c r="E4" s="48" t="s">
        <v>148</v>
      </c>
      <c r="F4" s="48" t="s">
        <v>149</v>
      </c>
      <c r="G4" s="48" t="s">
        <v>150</v>
      </c>
      <c r="H4" s="48" t="s">
        <v>151</v>
      </c>
      <c r="I4" s="48" t="s">
        <v>152</v>
      </c>
      <c r="J4" s="89" t="s">
        <v>153</v>
      </c>
      <c r="K4" s="89"/>
      <c r="L4" s="89"/>
      <c r="M4" s="89"/>
    </row>
    <row r="5" spans="1:13" ht="19.5" customHeight="1" x14ac:dyDescent="0.3">
      <c r="A5" s="49" t="s">
        <v>154</v>
      </c>
      <c r="B5" s="49" t="s">
        <v>155</v>
      </c>
      <c r="C5" s="50" t="s">
        <v>156</v>
      </c>
      <c r="D5" s="51">
        <v>-4.0599999999999996</v>
      </c>
      <c r="E5" s="51">
        <v>0.78</v>
      </c>
      <c r="F5" s="51">
        <v>7.26</v>
      </c>
      <c r="G5" s="50">
        <v>10.199999999999999</v>
      </c>
      <c r="H5" s="50" t="s">
        <v>157</v>
      </c>
      <c r="I5" s="50" t="s">
        <v>158</v>
      </c>
      <c r="J5" s="90" t="s">
        <v>159</v>
      </c>
      <c r="K5" s="90"/>
      <c r="L5" s="90"/>
      <c r="M5" s="90"/>
    </row>
    <row r="6" spans="1:13" ht="19.5" customHeight="1" x14ac:dyDescent="0.3">
      <c r="A6" s="52" t="s">
        <v>154</v>
      </c>
      <c r="B6" s="52" t="s">
        <v>160</v>
      </c>
      <c r="C6" s="53" t="s">
        <v>161</v>
      </c>
      <c r="D6" s="54">
        <v>8.1</v>
      </c>
      <c r="E6" s="54">
        <v>11</v>
      </c>
      <c r="F6" s="54">
        <v>14.8</v>
      </c>
      <c r="G6" s="53">
        <v>16.5</v>
      </c>
      <c r="H6" s="53" t="s">
        <v>162</v>
      </c>
      <c r="I6" s="53" t="s">
        <v>158</v>
      </c>
      <c r="J6" s="91" t="s">
        <v>163</v>
      </c>
      <c r="K6" s="91"/>
      <c r="L6" s="91"/>
      <c r="M6" s="91"/>
    </row>
    <row r="7" spans="1:13" ht="19.5" customHeight="1" x14ac:dyDescent="0.3">
      <c r="A7" s="49" t="s">
        <v>154</v>
      </c>
      <c r="B7" s="49" t="s">
        <v>164</v>
      </c>
      <c r="C7" s="50" t="s">
        <v>165</v>
      </c>
      <c r="D7" s="51">
        <v>-8.1999999999999993</v>
      </c>
      <c r="E7" s="51">
        <v>2.1</v>
      </c>
      <c r="F7" s="51">
        <v>18.399999999999999</v>
      </c>
      <c r="G7" s="50">
        <v>22.1</v>
      </c>
      <c r="H7" s="50" t="s">
        <v>166</v>
      </c>
      <c r="I7" s="50" t="s">
        <v>158</v>
      </c>
      <c r="J7" s="90" t="s">
        <v>167</v>
      </c>
      <c r="K7" s="90"/>
      <c r="L7" s="90"/>
      <c r="M7" s="90"/>
    </row>
    <row r="8" spans="1:13" ht="19.5" customHeight="1" x14ac:dyDescent="0.3">
      <c r="A8" s="52" t="s">
        <v>154</v>
      </c>
      <c r="B8" s="52" t="s">
        <v>168</v>
      </c>
      <c r="C8" s="53" t="s">
        <v>169</v>
      </c>
      <c r="D8" s="54">
        <v>-2.1</v>
      </c>
      <c r="E8" s="54">
        <v>5.3</v>
      </c>
      <c r="F8" s="54">
        <v>12.8</v>
      </c>
      <c r="G8" s="53">
        <v>15.2</v>
      </c>
      <c r="H8" s="53" t="s">
        <v>170</v>
      </c>
      <c r="I8" s="53" t="s">
        <v>158</v>
      </c>
      <c r="J8" s="91" t="s">
        <v>171</v>
      </c>
      <c r="K8" s="91"/>
      <c r="L8" s="91"/>
      <c r="M8" s="91"/>
    </row>
    <row r="9" spans="1:13" ht="19.5" customHeight="1" x14ac:dyDescent="0.3">
      <c r="A9" s="49" t="s">
        <v>172</v>
      </c>
      <c r="B9" s="49" t="s">
        <v>173</v>
      </c>
      <c r="C9" s="50" t="s">
        <v>174</v>
      </c>
      <c r="D9" s="51">
        <v>0.92</v>
      </c>
      <c r="E9" s="51">
        <v>1.01</v>
      </c>
      <c r="F9" s="51">
        <v>1.05</v>
      </c>
      <c r="G9" s="50">
        <v>1.08</v>
      </c>
      <c r="H9" s="50" t="s">
        <v>175</v>
      </c>
      <c r="I9" s="50" t="s">
        <v>176</v>
      </c>
      <c r="J9" s="90" t="s">
        <v>177</v>
      </c>
      <c r="K9" s="90"/>
      <c r="L9" s="90"/>
      <c r="M9" s="90"/>
    </row>
    <row r="10" spans="1:13" ht="19.5" customHeight="1" x14ac:dyDescent="0.3">
      <c r="A10" s="52" t="s">
        <v>172</v>
      </c>
      <c r="B10" s="52" t="s">
        <v>178</v>
      </c>
      <c r="C10" s="53" t="s">
        <v>179</v>
      </c>
      <c r="D10" s="54">
        <v>0.68</v>
      </c>
      <c r="E10" s="54">
        <v>0.76</v>
      </c>
      <c r="F10" s="54">
        <v>0.81</v>
      </c>
      <c r="G10" s="53">
        <v>0.84</v>
      </c>
      <c r="H10" s="53" t="s">
        <v>180</v>
      </c>
      <c r="I10" s="53" t="s">
        <v>176</v>
      </c>
      <c r="J10" s="91" t="s">
        <v>181</v>
      </c>
      <c r="K10" s="91"/>
      <c r="L10" s="91"/>
      <c r="M10" s="91"/>
    </row>
    <row r="11" spans="1:13" ht="19.5" customHeight="1" x14ac:dyDescent="0.3">
      <c r="A11" s="49" t="s">
        <v>182</v>
      </c>
      <c r="B11" s="49" t="s">
        <v>183</v>
      </c>
      <c r="C11" s="50" t="s">
        <v>184</v>
      </c>
      <c r="D11" s="51">
        <v>2.1</v>
      </c>
      <c r="E11" s="51">
        <v>1.8</v>
      </c>
      <c r="F11" s="51">
        <v>1.4</v>
      </c>
      <c r="G11" s="50">
        <v>1.1499999999999999</v>
      </c>
      <c r="H11" s="50" t="s">
        <v>185</v>
      </c>
      <c r="I11" s="50" t="s">
        <v>186</v>
      </c>
      <c r="J11" s="90" t="s">
        <v>187</v>
      </c>
      <c r="K11" s="90"/>
      <c r="L11" s="90"/>
      <c r="M11" s="90"/>
    </row>
    <row r="12" spans="1:13" ht="19.5" customHeight="1" x14ac:dyDescent="0.3">
      <c r="A12" s="52" t="s">
        <v>182</v>
      </c>
      <c r="B12" s="52" t="s">
        <v>188</v>
      </c>
      <c r="C12" s="53" t="s">
        <v>189</v>
      </c>
      <c r="D12" s="54">
        <v>0.4</v>
      </c>
      <c r="E12" s="54">
        <v>1.8</v>
      </c>
      <c r="F12" s="54">
        <v>4.2</v>
      </c>
      <c r="G12" s="53">
        <v>5.8</v>
      </c>
      <c r="H12" s="53" t="s">
        <v>190</v>
      </c>
      <c r="I12" s="53" t="s">
        <v>158</v>
      </c>
      <c r="J12" s="91" t="s">
        <v>191</v>
      </c>
      <c r="K12" s="91"/>
      <c r="L12" s="91"/>
      <c r="M12" s="91"/>
    </row>
    <row r="13" spans="1:13" ht="19.5" customHeight="1" x14ac:dyDescent="0.3">
      <c r="A13" s="49" t="s">
        <v>192</v>
      </c>
      <c r="B13" s="49" t="s">
        <v>84</v>
      </c>
      <c r="C13" s="50" t="s">
        <v>193</v>
      </c>
      <c r="D13" s="50" t="s">
        <v>194</v>
      </c>
      <c r="E13" s="51">
        <v>62.5</v>
      </c>
      <c r="F13" s="51">
        <v>15.2</v>
      </c>
      <c r="G13" s="50">
        <v>68.2</v>
      </c>
      <c r="H13" s="50" t="s">
        <v>195</v>
      </c>
      <c r="I13" s="50" t="s">
        <v>196</v>
      </c>
      <c r="J13" s="90" t="s">
        <v>197</v>
      </c>
      <c r="K13" s="90"/>
      <c r="L13" s="90"/>
      <c r="M13" s="90"/>
    </row>
    <row r="14" spans="1:13" ht="19.5" customHeight="1" x14ac:dyDescent="0.3">
      <c r="A14" s="52" t="s">
        <v>192</v>
      </c>
      <c r="B14" s="52" t="s">
        <v>198</v>
      </c>
      <c r="C14" s="53" t="s">
        <v>198</v>
      </c>
      <c r="D14" s="54">
        <v>28</v>
      </c>
      <c r="E14" s="54">
        <v>14</v>
      </c>
      <c r="F14" s="54">
        <v>8.5</v>
      </c>
      <c r="G14" s="53">
        <v>12</v>
      </c>
      <c r="H14" s="53" t="s">
        <v>199</v>
      </c>
      <c r="I14" s="53" t="s">
        <v>200</v>
      </c>
      <c r="J14" s="91" t="s">
        <v>201</v>
      </c>
      <c r="K14" s="91"/>
      <c r="L14" s="91"/>
      <c r="M14" s="91"/>
    </row>
    <row r="15" spans="1:13" ht="19.5" customHeight="1" x14ac:dyDescent="0.3">
      <c r="A15" s="49" t="s">
        <v>202</v>
      </c>
      <c r="B15" s="49" t="s">
        <v>203</v>
      </c>
      <c r="C15" s="50" t="s">
        <v>204</v>
      </c>
      <c r="D15" s="51">
        <v>0.7</v>
      </c>
      <c r="E15" s="51">
        <v>0.77</v>
      </c>
      <c r="F15" s="51">
        <v>0.87</v>
      </c>
      <c r="G15" s="50">
        <v>0.89</v>
      </c>
      <c r="H15" s="50" t="s">
        <v>205</v>
      </c>
      <c r="I15" s="50" t="s">
        <v>206</v>
      </c>
      <c r="J15" s="90" t="s">
        <v>207</v>
      </c>
      <c r="K15" s="90"/>
      <c r="L15" s="90"/>
      <c r="M15" s="90"/>
    </row>
    <row r="16" spans="1:13" ht="19.5" customHeight="1" x14ac:dyDescent="0.3"/>
    <row r="17" spans="1:13" ht="19.5" customHeight="1" x14ac:dyDescent="0.3">
      <c r="A17" s="78" t="s">
        <v>208</v>
      </c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</row>
    <row r="18" spans="1:13" ht="19.5" customHeight="1" x14ac:dyDescent="0.3">
      <c r="A18" s="48" t="s">
        <v>144</v>
      </c>
      <c r="B18" s="48" t="s">
        <v>145</v>
      </c>
      <c r="C18" s="48" t="s">
        <v>146</v>
      </c>
      <c r="D18" s="48" t="s">
        <v>147</v>
      </c>
      <c r="E18" s="48" t="s">
        <v>148</v>
      </c>
      <c r="F18" s="48" t="s">
        <v>149</v>
      </c>
      <c r="G18" s="48" t="s">
        <v>150</v>
      </c>
      <c r="H18" s="48" t="s">
        <v>151</v>
      </c>
      <c r="I18" s="48" t="s">
        <v>152</v>
      </c>
      <c r="J18" s="89" t="s">
        <v>153</v>
      </c>
      <c r="K18" s="89"/>
      <c r="L18" s="89"/>
      <c r="M18" s="89"/>
    </row>
    <row r="19" spans="1:13" ht="19.5" customHeight="1" x14ac:dyDescent="0.3">
      <c r="A19" s="49" t="s">
        <v>154</v>
      </c>
      <c r="B19" s="49" t="s">
        <v>155</v>
      </c>
      <c r="C19" s="50" t="s">
        <v>209</v>
      </c>
      <c r="D19" s="51">
        <v>0.99</v>
      </c>
      <c r="E19" s="51">
        <v>0.98</v>
      </c>
      <c r="F19" s="51">
        <v>0.95</v>
      </c>
      <c r="G19" s="50">
        <v>1.04</v>
      </c>
      <c r="H19" s="50" t="s">
        <v>210</v>
      </c>
      <c r="I19" s="50" t="s">
        <v>211</v>
      </c>
      <c r="J19" s="90" t="s">
        <v>212</v>
      </c>
      <c r="K19" s="90"/>
      <c r="L19" s="90"/>
      <c r="M19" s="90"/>
    </row>
    <row r="20" spans="1:13" ht="19.5" customHeight="1" x14ac:dyDescent="0.3">
      <c r="A20" s="52" t="s">
        <v>154</v>
      </c>
      <c r="B20" s="52" t="s">
        <v>213</v>
      </c>
      <c r="C20" s="53" t="s">
        <v>214</v>
      </c>
      <c r="D20" s="54">
        <v>28.5</v>
      </c>
      <c r="E20" s="54">
        <v>29</v>
      </c>
      <c r="F20" s="54">
        <v>31</v>
      </c>
      <c r="G20" s="53">
        <v>32.5</v>
      </c>
      <c r="H20" s="53" t="s">
        <v>215</v>
      </c>
      <c r="I20" s="53" t="s">
        <v>206</v>
      </c>
      <c r="J20" s="91" t="s">
        <v>216</v>
      </c>
      <c r="K20" s="91"/>
      <c r="L20" s="91"/>
      <c r="M20" s="91"/>
    </row>
    <row r="21" spans="1:13" ht="19.5" customHeight="1" x14ac:dyDescent="0.3">
      <c r="A21" s="49" t="s">
        <v>154</v>
      </c>
      <c r="B21" s="49" t="s">
        <v>164</v>
      </c>
      <c r="C21" s="50" t="s">
        <v>217</v>
      </c>
      <c r="D21" s="51">
        <v>10.8</v>
      </c>
      <c r="E21" s="51">
        <v>11.2</v>
      </c>
      <c r="F21" s="51">
        <v>11.8</v>
      </c>
      <c r="G21" s="50">
        <v>13.5</v>
      </c>
      <c r="H21" s="50" t="s">
        <v>170</v>
      </c>
      <c r="I21" s="50" t="s">
        <v>206</v>
      </c>
      <c r="J21" s="90" t="s">
        <v>218</v>
      </c>
      <c r="K21" s="90"/>
      <c r="L21" s="90"/>
      <c r="M21" s="90"/>
    </row>
    <row r="22" spans="1:13" ht="19.5" customHeight="1" x14ac:dyDescent="0.3">
      <c r="A22" s="52" t="s">
        <v>154</v>
      </c>
      <c r="B22" s="52" t="s">
        <v>219</v>
      </c>
      <c r="C22" s="53" t="s">
        <v>220</v>
      </c>
      <c r="D22" s="54">
        <v>0.28999999999999998</v>
      </c>
      <c r="E22" s="54">
        <v>0.28999999999999998</v>
      </c>
      <c r="F22" s="54">
        <v>0.27</v>
      </c>
      <c r="G22" s="53">
        <v>0.28000000000000003</v>
      </c>
      <c r="H22" s="53" t="s">
        <v>221</v>
      </c>
      <c r="I22" s="53" t="s">
        <v>211</v>
      </c>
      <c r="J22" s="91" t="s">
        <v>222</v>
      </c>
      <c r="K22" s="91"/>
      <c r="L22" s="91"/>
      <c r="M22" s="91"/>
    </row>
    <row r="23" spans="1:13" ht="19.5" customHeight="1" x14ac:dyDescent="0.3">
      <c r="A23" s="49" t="s">
        <v>223</v>
      </c>
      <c r="B23" s="49" t="s">
        <v>224</v>
      </c>
      <c r="C23" s="50" t="s">
        <v>225</v>
      </c>
      <c r="D23" s="50">
        <v>204</v>
      </c>
      <c r="E23" s="50">
        <v>209</v>
      </c>
      <c r="F23" s="50">
        <v>197</v>
      </c>
      <c r="G23" s="50">
        <v>203</v>
      </c>
      <c r="H23" s="50" t="s">
        <v>226</v>
      </c>
      <c r="I23" s="50" t="s">
        <v>227</v>
      </c>
      <c r="J23" s="90" t="s">
        <v>228</v>
      </c>
      <c r="K23" s="90"/>
      <c r="L23" s="90"/>
      <c r="M23" s="90"/>
    </row>
    <row r="24" spans="1:13" ht="19.5" customHeight="1" x14ac:dyDescent="0.3">
      <c r="A24" s="52" t="s">
        <v>223</v>
      </c>
      <c r="B24" s="52" t="s">
        <v>229</v>
      </c>
      <c r="C24" s="53" t="s">
        <v>230</v>
      </c>
      <c r="D24" s="54">
        <v>97.8</v>
      </c>
      <c r="E24" s="54">
        <v>98.6</v>
      </c>
      <c r="F24" s="54">
        <v>99.2</v>
      </c>
      <c r="G24" s="53">
        <v>99.2</v>
      </c>
      <c r="H24" s="53" t="s">
        <v>231</v>
      </c>
      <c r="I24" s="53" t="s">
        <v>158</v>
      </c>
      <c r="J24" s="91" t="s">
        <v>232</v>
      </c>
      <c r="K24" s="91"/>
      <c r="L24" s="91"/>
      <c r="M24" s="91"/>
    </row>
    <row r="25" spans="1:13" ht="19.5" customHeight="1" x14ac:dyDescent="0.3">
      <c r="A25" s="49" t="s">
        <v>223</v>
      </c>
      <c r="B25" s="49" t="s">
        <v>233</v>
      </c>
      <c r="C25" s="50" t="s">
        <v>234</v>
      </c>
      <c r="D25" s="51">
        <v>24.5</v>
      </c>
      <c r="E25" s="51">
        <v>23.8</v>
      </c>
      <c r="F25" s="51">
        <v>22.9</v>
      </c>
      <c r="G25" s="50">
        <v>22</v>
      </c>
      <c r="H25" s="50" t="s">
        <v>235</v>
      </c>
      <c r="I25" s="50" t="s">
        <v>236</v>
      </c>
      <c r="J25" s="90" t="s">
        <v>237</v>
      </c>
      <c r="K25" s="90"/>
      <c r="L25" s="90"/>
      <c r="M25" s="90"/>
    </row>
    <row r="26" spans="1:13" ht="19.5" customHeight="1" x14ac:dyDescent="0.3">
      <c r="A26" s="52" t="s">
        <v>223</v>
      </c>
      <c r="B26" s="52" t="s">
        <v>238</v>
      </c>
      <c r="C26" s="53" t="s">
        <v>239</v>
      </c>
      <c r="D26" s="54">
        <v>87</v>
      </c>
      <c r="E26" s="54">
        <v>88.2</v>
      </c>
      <c r="F26" s="54">
        <v>89.1</v>
      </c>
      <c r="G26" s="53">
        <v>89.5</v>
      </c>
      <c r="H26" s="53" t="s">
        <v>240</v>
      </c>
      <c r="I26" s="53" t="s">
        <v>206</v>
      </c>
      <c r="J26" s="91" t="s">
        <v>241</v>
      </c>
      <c r="K26" s="91"/>
      <c r="L26" s="91"/>
      <c r="M26" s="91"/>
    </row>
    <row r="27" spans="1:13" ht="19.5" customHeight="1" x14ac:dyDescent="0.3">
      <c r="A27" s="49" t="s">
        <v>192</v>
      </c>
      <c r="B27" s="49" t="s">
        <v>84</v>
      </c>
      <c r="C27" s="50" t="s">
        <v>193</v>
      </c>
      <c r="D27" s="51">
        <v>98</v>
      </c>
      <c r="E27" s="51">
        <v>88</v>
      </c>
      <c r="F27" s="51">
        <v>89</v>
      </c>
      <c r="G27" s="50">
        <v>51</v>
      </c>
      <c r="H27" s="50" t="s">
        <v>242</v>
      </c>
      <c r="I27" s="50" t="s">
        <v>200</v>
      </c>
      <c r="J27" s="90" t="s">
        <v>243</v>
      </c>
      <c r="K27" s="90"/>
      <c r="L27" s="90"/>
      <c r="M27" s="90"/>
    </row>
    <row r="28" spans="1:13" ht="19.5" customHeight="1" x14ac:dyDescent="0.3">
      <c r="A28" s="52" t="s">
        <v>192</v>
      </c>
      <c r="B28" s="52" t="s">
        <v>244</v>
      </c>
      <c r="C28" s="53" t="s">
        <v>245</v>
      </c>
      <c r="D28" s="54">
        <v>8.1</v>
      </c>
      <c r="E28" s="54">
        <v>7.6</v>
      </c>
      <c r="F28" s="54">
        <v>7.2</v>
      </c>
      <c r="G28" s="53">
        <v>6.3</v>
      </c>
      <c r="H28" s="53" t="s">
        <v>246</v>
      </c>
      <c r="I28" s="53" t="s">
        <v>200</v>
      </c>
      <c r="J28" s="91" t="s">
        <v>247</v>
      </c>
      <c r="K28" s="91"/>
      <c r="L28" s="91"/>
      <c r="M28" s="91"/>
    </row>
    <row r="29" spans="1:13" ht="19.5" customHeight="1" x14ac:dyDescent="0.3">
      <c r="A29" s="92" t="s">
        <v>248</v>
      </c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</row>
    <row r="30" spans="1:13" ht="19.5" customHeight="1" x14ac:dyDescent="0.3"/>
    <row r="31" spans="1:13" ht="19.5" customHeight="1" x14ac:dyDescent="0.3"/>
    <row r="32" spans="1:13" ht="19.5" customHeight="1" x14ac:dyDescent="0.3"/>
    <row r="33" ht="19.5" customHeight="1" x14ac:dyDescent="0.3"/>
    <row r="34" ht="19.5" customHeight="1" x14ac:dyDescent="0.3"/>
    <row r="35" ht="19.5" customHeight="1" x14ac:dyDescent="0.3"/>
    <row r="36" ht="19.5" customHeight="1" x14ac:dyDescent="0.3"/>
    <row r="37" ht="19.5" customHeight="1" x14ac:dyDescent="0.3"/>
    <row r="38" ht="19.5" customHeight="1" x14ac:dyDescent="0.3"/>
    <row r="39" ht="19.5" customHeight="1" x14ac:dyDescent="0.3"/>
    <row r="40" ht="19.5" customHeight="1" x14ac:dyDescent="0.3"/>
    <row r="41" ht="19.5" customHeight="1" x14ac:dyDescent="0.3"/>
    <row r="42" ht="19.5" customHeight="1" x14ac:dyDescent="0.3"/>
    <row r="43" ht="19.5" customHeight="1" x14ac:dyDescent="0.3"/>
    <row r="44" ht="19.5" customHeight="1" x14ac:dyDescent="0.3"/>
    <row r="45" ht="19.5" customHeight="1" x14ac:dyDescent="0.3"/>
    <row r="46" ht="19.5" customHeight="1" x14ac:dyDescent="0.3"/>
    <row r="47" ht="19.5" customHeight="1" x14ac:dyDescent="0.3"/>
    <row r="48" ht="19.5" customHeight="1" x14ac:dyDescent="0.3"/>
    <row r="49" ht="19.5" customHeight="1" x14ac:dyDescent="0.3"/>
    <row r="50" ht="19.5" customHeight="1" x14ac:dyDescent="0.3"/>
    <row r="51" ht="19.5" customHeight="1" x14ac:dyDescent="0.3"/>
    <row r="52" ht="19.5" customHeight="1" x14ac:dyDescent="0.3"/>
    <row r="53" ht="19.5" customHeight="1" x14ac:dyDescent="0.3"/>
    <row r="54" ht="19.5" customHeight="1" x14ac:dyDescent="0.3"/>
    <row r="55" ht="19.5" customHeight="1" x14ac:dyDescent="0.3"/>
    <row r="56" ht="19.5" customHeight="1" x14ac:dyDescent="0.3"/>
    <row r="57" ht="19.5" customHeight="1" x14ac:dyDescent="0.3"/>
    <row r="58" ht="19.5" customHeight="1" x14ac:dyDescent="0.3"/>
    <row r="59" ht="19.5" customHeight="1" x14ac:dyDescent="0.3"/>
  </sheetData>
  <mergeCells count="27">
    <mergeCell ref="J28:M28"/>
    <mergeCell ref="A29:M29"/>
    <mergeCell ref="J23:M23"/>
    <mergeCell ref="J24:M24"/>
    <mergeCell ref="J25:M25"/>
    <mergeCell ref="J26:M26"/>
    <mergeCell ref="J27:M27"/>
    <mergeCell ref="J18:M18"/>
    <mergeCell ref="J19:M19"/>
    <mergeCell ref="J20:M20"/>
    <mergeCell ref="J21:M21"/>
    <mergeCell ref="J22:M22"/>
    <mergeCell ref="J12:M12"/>
    <mergeCell ref="J13:M13"/>
    <mergeCell ref="J14:M14"/>
    <mergeCell ref="J15:M15"/>
    <mergeCell ref="A17:M17"/>
    <mergeCell ref="J7:M7"/>
    <mergeCell ref="J8:M8"/>
    <mergeCell ref="J9:M9"/>
    <mergeCell ref="J10:M10"/>
    <mergeCell ref="J11:M11"/>
    <mergeCell ref="A1:M1"/>
    <mergeCell ref="A3:M3"/>
    <mergeCell ref="J4:M4"/>
    <mergeCell ref="J5:M5"/>
    <mergeCell ref="J6:M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9"/>
  <sheetViews>
    <sheetView showGridLines="0" zoomScaleNormal="100" workbookViewId="0"/>
  </sheetViews>
  <sheetFormatPr defaultColWidth="8.6640625" defaultRowHeight="14.4" x14ac:dyDescent="0.3"/>
  <cols>
    <col min="1" max="9" width="22" customWidth="1"/>
  </cols>
  <sheetData>
    <row r="1" spans="1:9" ht="19.5" customHeight="1" x14ac:dyDescent="0.3">
      <c r="A1" s="76" t="s">
        <v>249</v>
      </c>
      <c r="B1" s="76"/>
      <c r="C1" s="76"/>
      <c r="D1" s="76"/>
      <c r="E1" s="76"/>
      <c r="F1" s="76"/>
      <c r="G1" s="76"/>
      <c r="H1" s="76"/>
      <c r="I1" s="76"/>
    </row>
    <row r="2" spans="1:9" ht="19.5" customHeight="1" x14ac:dyDescent="0.3">
      <c r="A2" s="16" t="s">
        <v>250</v>
      </c>
      <c r="B2" s="16" t="s">
        <v>251</v>
      </c>
      <c r="C2" s="16" t="s">
        <v>252</v>
      </c>
      <c r="D2" s="16" t="s">
        <v>253</v>
      </c>
      <c r="E2" s="16" t="s">
        <v>252</v>
      </c>
      <c r="F2" s="16" t="s">
        <v>254</v>
      </c>
      <c r="G2" s="8" t="s">
        <v>255</v>
      </c>
      <c r="H2" s="8"/>
      <c r="I2" s="8"/>
    </row>
    <row r="3" spans="1:9" ht="19.5" customHeight="1" x14ac:dyDescent="0.3">
      <c r="A3" s="39" t="s">
        <v>256</v>
      </c>
      <c r="B3" s="18" t="s">
        <v>257</v>
      </c>
      <c r="C3" s="55">
        <v>9</v>
      </c>
      <c r="D3" s="18" t="s">
        <v>258</v>
      </c>
      <c r="E3" s="56">
        <v>6</v>
      </c>
      <c r="F3" s="57" t="s">
        <v>259</v>
      </c>
      <c r="G3" s="86" t="s">
        <v>260</v>
      </c>
      <c r="H3" s="86"/>
      <c r="I3" s="86"/>
    </row>
    <row r="4" spans="1:9" ht="19.5" customHeight="1" x14ac:dyDescent="0.3">
      <c r="A4" s="41" t="s">
        <v>154</v>
      </c>
      <c r="B4" s="20" t="s">
        <v>261</v>
      </c>
      <c r="C4" s="55">
        <v>8</v>
      </c>
      <c r="D4" s="20" t="s">
        <v>262</v>
      </c>
      <c r="E4" s="58">
        <v>7</v>
      </c>
      <c r="F4" s="57" t="s">
        <v>259</v>
      </c>
      <c r="G4" s="87" t="s">
        <v>263</v>
      </c>
      <c r="H4" s="87"/>
      <c r="I4" s="87"/>
    </row>
    <row r="5" spans="1:9" ht="19.5" customHeight="1" x14ac:dyDescent="0.3">
      <c r="A5" s="39" t="s">
        <v>264</v>
      </c>
      <c r="B5" s="18" t="s">
        <v>265</v>
      </c>
      <c r="C5" s="56">
        <v>6</v>
      </c>
      <c r="D5" s="18" t="s">
        <v>266</v>
      </c>
      <c r="E5" s="59">
        <v>9</v>
      </c>
      <c r="F5" s="60" t="s">
        <v>267</v>
      </c>
      <c r="G5" s="86" t="s">
        <v>268</v>
      </c>
      <c r="H5" s="86"/>
      <c r="I5" s="86"/>
    </row>
    <row r="6" spans="1:9" ht="19.5" customHeight="1" x14ac:dyDescent="0.3">
      <c r="A6" s="41" t="s">
        <v>269</v>
      </c>
      <c r="B6" s="20" t="s">
        <v>270</v>
      </c>
      <c r="C6" s="58">
        <v>6</v>
      </c>
      <c r="D6" s="20" t="s">
        <v>271</v>
      </c>
      <c r="E6" s="59">
        <v>9</v>
      </c>
      <c r="F6" s="60" t="s">
        <v>267</v>
      </c>
      <c r="G6" s="87" t="s">
        <v>272</v>
      </c>
      <c r="H6" s="87"/>
      <c r="I6" s="87"/>
    </row>
    <row r="7" spans="1:9" ht="19.5" customHeight="1" x14ac:dyDescent="0.3">
      <c r="A7" s="39" t="s">
        <v>273</v>
      </c>
      <c r="B7" s="18" t="s">
        <v>274</v>
      </c>
      <c r="C7" s="56">
        <v>7</v>
      </c>
      <c r="D7" s="18" t="s">
        <v>275</v>
      </c>
      <c r="E7" s="59">
        <v>9</v>
      </c>
      <c r="F7" s="60" t="s">
        <v>267</v>
      </c>
      <c r="G7" s="86" t="s">
        <v>276</v>
      </c>
      <c r="H7" s="86"/>
      <c r="I7" s="86"/>
    </row>
    <row r="8" spans="1:9" ht="19.5" customHeight="1" x14ac:dyDescent="0.3">
      <c r="A8" s="41" t="s">
        <v>277</v>
      </c>
      <c r="B8" s="20" t="s">
        <v>278</v>
      </c>
      <c r="C8" s="58">
        <v>5</v>
      </c>
      <c r="D8" s="20" t="s">
        <v>279</v>
      </c>
      <c r="E8" s="59">
        <v>8</v>
      </c>
      <c r="F8" s="60" t="s">
        <v>267</v>
      </c>
      <c r="G8" s="87" t="s">
        <v>280</v>
      </c>
      <c r="H8" s="87"/>
      <c r="I8" s="87"/>
    </row>
    <row r="9" spans="1:9" ht="19.5" customHeight="1" x14ac:dyDescent="0.3">
      <c r="A9" s="39" t="s">
        <v>281</v>
      </c>
      <c r="B9" s="18" t="s">
        <v>282</v>
      </c>
      <c r="C9" s="55">
        <v>9</v>
      </c>
      <c r="D9" s="18" t="s">
        <v>283</v>
      </c>
      <c r="E9" s="56">
        <v>7</v>
      </c>
      <c r="F9" s="57" t="s">
        <v>259</v>
      </c>
      <c r="G9" s="86" t="s">
        <v>284</v>
      </c>
      <c r="H9" s="86"/>
      <c r="I9" s="86"/>
    </row>
    <row r="10" spans="1:9" ht="19.5" customHeight="1" x14ac:dyDescent="0.3">
      <c r="A10" s="41" t="s">
        <v>285</v>
      </c>
      <c r="B10" s="20" t="s">
        <v>286</v>
      </c>
      <c r="C10" s="58">
        <v>6</v>
      </c>
      <c r="D10" s="20" t="s">
        <v>287</v>
      </c>
      <c r="E10" s="58">
        <v>7</v>
      </c>
      <c r="F10" s="60" t="s">
        <v>267</v>
      </c>
      <c r="G10" s="87" t="s">
        <v>288</v>
      </c>
      <c r="H10" s="87"/>
      <c r="I10" s="87"/>
    </row>
    <row r="11" spans="1:9" ht="19.5" customHeight="1" x14ac:dyDescent="0.3">
      <c r="A11" s="39" t="s">
        <v>289</v>
      </c>
      <c r="B11" s="18" t="s">
        <v>290</v>
      </c>
      <c r="C11" s="56">
        <v>5</v>
      </c>
      <c r="D11" s="18" t="s">
        <v>291</v>
      </c>
      <c r="E11" s="56">
        <v>7</v>
      </c>
      <c r="F11" s="60" t="s">
        <v>267</v>
      </c>
      <c r="G11" s="86" t="s">
        <v>292</v>
      </c>
      <c r="H11" s="86"/>
      <c r="I11" s="86"/>
    </row>
    <row r="12" spans="1:9" ht="19.5" customHeight="1" x14ac:dyDescent="0.3">
      <c r="A12" s="41" t="s">
        <v>293</v>
      </c>
      <c r="B12" s="20" t="s">
        <v>294</v>
      </c>
      <c r="C12" s="55">
        <v>8</v>
      </c>
      <c r="D12" s="20" t="s">
        <v>295</v>
      </c>
      <c r="E12" s="59">
        <v>8</v>
      </c>
      <c r="F12" s="31" t="s">
        <v>296</v>
      </c>
      <c r="G12" s="87" t="s">
        <v>297</v>
      </c>
      <c r="H12" s="87"/>
      <c r="I12" s="87"/>
    </row>
    <row r="13" spans="1:9" ht="19.5" customHeight="1" x14ac:dyDescent="0.3">
      <c r="A13" s="39" t="s">
        <v>298</v>
      </c>
      <c r="B13" s="18" t="s">
        <v>299</v>
      </c>
      <c r="C13" s="55">
        <v>9</v>
      </c>
      <c r="D13" s="18" t="s">
        <v>300</v>
      </c>
      <c r="E13" s="56">
        <v>7</v>
      </c>
      <c r="F13" s="57" t="s">
        <v>259</v>
      </c>
      <c r="G13" s="86" t="s">
        <v>301</v>
      </c>
      <c r="H13" s="86"/>
      <c r="I13" s="86"/>
    </row>
    <row r="14" spans="1:9" ht="19.5" customHeight="1" x14ac:dyDescent="0.3">
      <c r="A14" s="41" t="s">
        <v>302</v>
      </c>
      <c r="B14" s="20" t="s">
        <v>303</v>
      </c>
      <c r="C14" s="58">
        <v>6</v>
      </c>
      <c r="D14" s="20" t="s">
        <v>304</v>
      </c>
      <c r="E14" s="58">
        <v>6</v>
      </c>
      <c r="F14" s="31" t="s">
        <v>296</v>
      </c>
      <c r="G14" s="87" t="s">
        <v>305</v>
      </c>
      <c r="H14" s="87"/>
      <c r="I14" s="87"/>
    </row>
    <row r="15" spans="1:9" ht="19.5" customHeight="1" x14ac:dyDescent="0.3">
      <c r="A15" s="61" t="s">
        <v>306</v>
      </c>
      <c r="B15" s="62"/>
      <c r="C15" s="21">
        <f>SUM(C3:C14)</f>
        <v>84</v>
      </c>
      <c r="D15" s="62"/>
      <c r="E15" s="22">
        <f>SUM(E3:E14)</f>
        <v>90</v>
      </c>
      <c r="F15" s="93" t="s">
        <v>307</v>
      </c>
      <c r="G15" s="93"/>
      <c r="H15" s="93"/>
      <c r="I15" s="93"/>
    </row>
    <row r="16" spans="1:9" ht="19.5" customHeight="1" x14ac:dyDescent="0.3"/>
    <row r="17" spans="1:9" ht="19.5" customHeight="1" x14ac:dyDescent="0.3">
      <c r="A17" s="9" t="s">
        <v>308</v>
      </c>
      <c r="B17" s="9"/>
      <c r="C17" s="9"/>
      <c r="D17" s="9"/>
      <c r="E17" s="9"/>
      <c r="F17" s="9"/>
      <c r="G17" s="9"/>
      <c r="H17" s="9"/>
      <c r="I17" s="9"/>
    </row>
    <row r="18" spans="1:9" ht="19.5" customHeight="1" x14ac:dyDescent="0.3">
      <c r="A18" s="94" t="s">
        <v>309</v>
      </c>
      <c r="B18" s="94"/>
      <c r="C18" s="94"/>
      <c r="D18" s="94"/>
      <c r="E18" s="95" t="s">
        <v>310</v>
      </c>
      <c r="F18" s="96" t="s">
        <v>311</v>
      </c>
      <c r="G18" s="96"/>
      <c r="H18" s="96"/>
      <c r="I18" s="96"/>
    </row>
    <row r="19" spans="1:9" ht="19.5" customHeight="1" x14ac:dyDescent="0.3">
      <c r="A19" s="94"/>
      <c r="B19" s="94"/>
      <c r="C19" s="94"/>
      <c r="D19" s="94"/>
      <c r="E19" s="95"/>
      <c r="F19" s="96"/>
      <c r="G19" s="96"/>
      <c r="H19" s="96"/>
      <c r="I19" s="96"/>
    </row>
    <row r="20" spans="1:9" ht="19.5" customHeight="1" x14ac:dyDescent="0.3">
      <c r="A20" s="94"/>
      <c r="B20" s="94"/>
      <c r="C20" s="94"/>
      <c r="D20" s="94"/>
      <c r="E20" s="95"/>
      <c r="F20" s="96"/>
      <c r="G20" s="96"/>
      <c r="H20" s="96"/>
      <c r="I20" s="96"/>
    </row>
    <row r="21" spans="1:9" ht="19.5" customHeight="1" x14ac:dyDescent="0.3"/>
    <row r="22" spans="1:9" ht="19.5" customHeight="1" x14ac:dyDescent="0.3"/>
    <row r="23" spans="1:9" ht="19.5" customHeight="1" x14ac:dyDescent="0.3"/>
    <row r="24" spans="1:9" ht="19.5" customHeight="1" x14ac:dyDescent="0.3"/>
    <row r="25" spans="1:9" ht="19.5" customHeight="1" x14ac:dyDescent="0.3"/>
    <row r="26" spans="1:9" ht="19.5" customHeight="1" x14ac:dyDescent="0.3"/>
    <row r="27" spans="1:9" ht="19.5" customHeight="1" x14ac:dyDescent="0.3"/>
    <row r="28" spans="1:9" ht="19.5" customHeight="1" x14ac:dyDescent="0.3"/>
    <row r="29" spans="1:9" ht="19.5" customHeight="1" x14ac:dyDescent="0.3"/>
    <row r="30" spans="1:9" ht="19.5" customHeight="1" x14ac:dyDescent="0.3"/>
    <row r="31" spans="1:9" ht="19.5" customHeight="1" x14ac:dyDescent="0.3"/>
    <row r="32" spans="1:9" ht="19.5" customHeight="1" x14ac:dyDescent="0.3"/>
    <row r="33" ht="19.5" customHeight="1" x14ac:dyDescent="0.3"/>
    <row r="34" ht="19.5" customHeight="1" x14ac:dyDescent="0.3"/>
    <row r="35" ht="19.5" customHeight="1" x14ac:dyDescent="0.3"/>
    <row r="36" ht="19.5" customHeight="1" x14ac:dyDescent="0.3"/>
    <row r="37" ht="19.5" customHeight="1" x14ac:dyDescent="0.3"/>
    <row r="38" ht="19.5" customHeight="1" x14ac:dyDescent="0.3"/>
    <row r="39" ht="19.5" customHeight="1" x14ac:dyDescent="0.3"/>
    <row r="40" ht="19.5" customHeight="1" x14ac:dyDescent="0.3"/>
    <row r="41" ht="19.5" customHeight="1" x14ac:dyDescent="0.3"/>
    <row r="42" ht="19.5" customHeight="1" x14ac:dyDescent="0.3"/>
    <row r="43" ht="19.5" customHeight="1" x14ac:dyDescent="0.3"/>
    <row r="44" ht="19.5" customHeight="1" x14ac:dyDescent="0.3"/>
    <row r="45" ht="19.5" customHeight="1" x14ac:dyDescent="0.3"/>
    <row r="46" ht="19.5" customHeight="1" x14ac:dyDescent="0.3"/>
    <row r="47" ht="19.5" customHeight="1" x14ac:dyDescent="0.3"/>
    <row r="48" ht="19.5" customHeight="1" x14ac:dyDescent="0.3"/>
    <row r="49" ht="19.5" customHeight="1" x14ac:dyDescent="0.3"/>
    <row r="50" ht="19.5" customHeight="1" x14ac:dyDescent="0.3"/>
    <row r="51" ht="19.5" customHeight="1" x14ac:dyDescent="0.3"/>
    <row r="52" ht="19.5" customHeight="1" x14ac:dyDescent="0.3"/>
    <row r="53" ht="19.5" customHeight="1" x14ac:dyDescent="0.3"/>
    <row r="54" ht="19.5" customHeight="1" x14ac:dyDescent="0.3"/>
    <row r="55" ht="19.5" customHeight="1" x14ac:dyDescent="0.3"/>
    <row r="56" ht="19.5" customHeight="1" x14ac:dyDescent="0.3"/>
    <row r="57" ht="19.5" customHeight="1" x14ac:dyDescent="0.3"/>
    <row r="58" ht="19.5" customHeight="1" x14ac:dyDescent="0.3"/>
    <row r="59" ht="19.5" customHeight="1" x14ac:dyDescent="0.3"/>
  </sheetData>
  <mergeCells count="19">
    <mergeCell ref="A17:I17"/>
    <mergeCell ref="A18:D20"/>
    <mergeCell ref="E18:E20"/>
    <mergeCell ref="F18:I20"/>
    <mergeCell ref="G11:I11"/>
    <mergeCell ref="G12:I12"/>
    <mergeCell ref="G13:I13"/>
    <mergeCell ref="G14:I14"/>
    <mergeCell ref="F15:I15"/>
    <mergeCell ref="G6:I6"/>
    <mergeCell ref="G7:I7"/>
    <mergeCell ref="G8:I8"/>
    <mergeCell ref="G9:I9"/>
    <mergeCell ref="G10:I10"/>
    <mergeCell ref="A1:I1"/>
    <mergeCell ref="G2:I2"/>
    <mergeCell ref="G3:I3"/>
    <mergeCell ref="G4:I4"/>
    <mergeCell ref="G5:I5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9"/>
  <sheetViews>
    <sheetView showGridLines="0" zoomScaleNormal="100" workbookViewId="0"/>
  </sheetViews>
  <sheetFormatPr defaultColWidth="8.6640625" defaultRowHeight="14.4" x14ac:dyDescent="0.3"/>
  <cols>
    <col min="1" max="8" width="24" customWidth="1"/>
  </cols>
  <sheetData>
    <row r="1" spans="1:8" ht="19.5" customHeight="1" x14ac:dyDescent="0.3">
      <c r="A1" s="76" t="s">
        <v>312</v>
      </c>
      <c r="B1" s="76"/>
      <c r="C1" s="76"/>
      <c r="D1" s="76"/>
      <c r="E1" s="76"/>
      <c r="F1" s="76"/>
      <c r="G1" s="76"/>
      <c r="H1" s="76"/>
    </row>
    <row r="2" spans="1:8" ht="19.5" customHeight="1" x14ac:dyDescent="0.3">
      <c r="A2" s="77" t="s">
        <v>313</v>
      </c>
      <c r="B2" s="77"/>
      <c r="C2" s="77"/>
      <c r="D2" s="77"/>
      <c r="E2" s="77"/>
      <c r="F2" s="77"/>
      <c r="G2" s="77"/>
      <c r="H2" s="77"/>
    </row>
    <row r="3" spans="1:8" ht="19.5" customHeight="1" x14ac:dyDescent="0.3">
      <c r="A3" s="97" t="s">
        <v>314</v>
      </c>
      <c r="B3" s="97"/>
      <c r="C3" s="97"/>
      <c r="D3" s="97"/>
      <c r="E3" s="98" t="s">
        <v>315</v>
      </c>
      <c r="F3" s="98"/>
      <c r="G3" s="98"/>
      <c r="H3" s="98"/>
    </row>
    <row r="4" spans="1:8" ht="19.5" customHeight="1" x14ac:dyDescent="0.3">
      <c r="A4" s="99" t="s">
        <v>316</v>
      </c>
      <c r="B4" s="99"/>
      <c r="C4" s="99"/>
      <c r="D4" s="99"/>
      <c r="E4" s="100" t="s">
        <v>317</v>
      </c>
      <c r="F4" s="100"/>
      <c r="G4" s="100"/>
      <c r="H4" s="100"/>
    </row>
    <row r="5" spans="1:8" ht="19.5" customHeight="1" x14ac:dyDescent="0.3">
      <c r="A5" s="99" t="s">
        <v>318</v>
      </c>
      <c r="B5" s="99"/>
      <c r="C5" s="99"/>
      <c r="D5" s="99"/>
      <c r="E5" s="100" t="s">
        <v>319</v>
      </c>
      <c r="F5" s="100"/>
      <c r="G5" s="100"/>
      <c r="H5" s="100"/>
    </row>
    <row r="6" spans="1:8" ht="19.5" customHeight="1" x14ac:dyDescent="0.3">
      <c r="A6" s="99" t="s">
        <v>320</v>
      </c>
      <c r="B6" s="99"/>
      <c r="C6" s="99"/>
      <c r="D6" s="99"/>
      <c r="E6" s="100" t="s">
        <v>321</v>
      </c>
      <c r="F6" s="100"/>
      <c r="G6" s="100"/>
      <c r="H6" s="100"/>
    </row>
    <row r="7" spans="1:8" ht="19.5" customHeight="1" x14ac:dyDescent="0.3">
      <c r="A7" s="99" t="s">
        <v>322</v>
      </c>
      <c r="B7" s="99"/>
      <c r="C7" s="99"/>
      <c r="D7" s="99"/>
      <c r="E7" s="100" t="s">
        <v>323</v>
      </c>
      <c r="F7" s="100"/>
      <c r="G7" s="100"/>
      <c r="H7" s="100"/>
    </row>
    <row r="8" spans="1:8" ht="19.5" customHeight="1" x14ac:dyDescent="0.3">
      <c r="A8" s="99" t="s">
        <v>324</v>
      </c>
      <c r="B8" s="99"/>
      <c r="C8" s="99"/>
      <c r="D8" s="99"/>
      <c r="E8" s="100" t="s">
        <v>325</v>
      </c>
      <c r="F8" s="100"/>
      <c r="G8" s="100"/>
      <c r="H8" s="100"/>
    </row>
    <row r="9" spans="1:8" ht="19.5" customHeight="1" x14ac:dyDescent="0.3">
      <c r="A9" s="99" t="s">
        <v>326</v>
      </c>
      <c r="B9" s="99"/>
      <c r="C9" s="99"/>
      <c r="D9" s="99"/>
      <c r="E9" s="100" t="s">
        <v>327</v>
      </c>
      <c r="F9" s="100"/>
      <c r="G9" s="100"/>
      <c r="H9" s="100"/>
    </row>
    <row r="10" spans="1:8" ht="19.5" customHeight="1" x14ac:dyDescent="0.3">
      <c r="A10" s="99" t="s">
        <v>328</v>
      </c>
      <c r="B10" s="99"/>
      <c r="C10" s="99"/>
      <c r="D10" s="99"/>
      <c r="E10" s="100" t="s">
        <v>329</v>
      </c>
      <c r="F10" s="100"/>
      <c r="G10" s="100"/>
      <c r="H10" s="100"/>
    </row>
    <row r="11" spans="1:8" ht="19.5" customHeight="1" x14ac:dyDescent="0.3"/>
    <row r="12" spans="1:8" ht="19.5" customHeight="1" x14ac:dyDescent="0.3"/>
    <row r="13" spans="1:8" ht="19.5" customHeight="1" x14ac:dyDescent="0.3"/>
    <row r="14" spans="1:8" ht="19.5" customHeight="1" x14ac:dyDescent="0.3">
      <c r="A14" s="9" t="s">
        <v>330</v>
      </c>
      <c r="B14" s="9"/>
      <c r="C14" s="9"/>
      <c r="D14" s="9"/>
      <c r="E14" s="101" t="s">
        <v>331</v>
      </c>
      <c r="F14" s="101"/>
      <c r="G14" s="101"/>
      <c r="H14" s="101"/>
    </row>
    <row r="15" spans="1:8" ht="19.5" customHeight="1" x14ac:dyDescent="0.3">
      <c r="A15" s="102" t="s">
        <v>332</v>
      </c>
      <c r="B15" s="102"/>
      <c r="C15" s="102"/>
      <c r="D15" s="102"/>
      <c r="E15" s="103" t="s">
        <v>333</v>
      </c>
      <c r="F15" s="103"/>
      <c r="G15" s="103"/>
      <c r="H15" s="103"/>
    </row>
    <row r="16" spans="1:8" ht="19.5" customHeight="1" x14ac:dyDescent="0.3">
      <c r="A16" s="102" t="s">
        <v>334</v>
      </c>
      <c r="B16" s="102"/>
      <c r="C16" s="102"/>
      <c r="D16" s="102"/>
      <c r="E16" s="103" t="s">
        <v>335</v>
      </c>
      <c r="F16" s="103"/>
      <c r="G16" s="103"/>
      <c r="H16" s="103"/>
    </row>
    <row r="17" spans="1:8" ht="19.5" customHeight="1" x14ac:dyDescent="0.3">
      <c r="A17" s="102" t="s">
        <v>336</v>
      </c>
      <c r="B17" s="102"/>
      <c r="C17" s="102"/>
      <c r="D17" s="102"/>
      <c r="E17" s="103" t="s">
        <v>337</v>
      </c>
      <c r="F17" s="103"/>
      <c r="G17" s="103"/>
      <c r="H17" s="103"/>
    </row>
    <row r="18" spans="1:8" ht="19.5" customHeight="1" x14ac:dyDescent="0.3">
      <c r="A18" s="102" t="s">
        <v>338</v>
      </c>
      <c r="B18" s="102"/>
      <c r="C18" s="102"/>
      <c r="D18" s="102"/>
      <c r="E18" s="103" t="s">
        <v>339</v>
      </c>
      <c r="F18" s="103"/>
      <c r="G18" s="103"/>
      <c r="H18" s="103"/>
    </row>
    <row r="19" spans="1:8" ht="19.5" customHeight="1" x14ac:dyDescent="0.3">
      <c r="A19" s="102" t="s">
        <v>340</v>
      </c>
      <c r="B19" s="102"/>
      <c r="C19" s="102"/>
      <c r="D19" s="102"/>
      <c r="E19" s="103" t="s">
        <v>341</v>
      </c>
      <c r="F19" s="103"/>
      <c r="G19" s="103"/>
      <c r="H19" s="103"/>
    </row>
    <row r="20" spans="1:8" ht="19.5" customHeight="1" x14ac:dyDescent="0.3">
      <c r="A20" s="102" t="s">
        <v>342</v>
      </c>
      <c r="B20" s="102"/>
      <c r="C20" s="102"/>
      <c r="D20" s="102"/>
      <c r="E20" s="103" t="s">
        <v>343</v>
      </c>
      <c r="F20" s="103"/>
      <c r="G20" s="103"/>
      <c r="H20" s="103"/>
    </row>
    <row r="21" spans="1:8" ht="19.5" customHeight="1" x14ac:dyDescent="0.3">
      <c r="A21" s="102" t="s">
        <v>344</v>
      </c>
      <c r="B21" s="102"/>
      <c r="C21" s="102"/>
      <c r="D21" s="102"/>
      <c r="E21" s="103" t="s">
        <v>345</v>
      </c>
      <c r="F21" s="103"/>
      <c r="G21" s="103"/>
      <c r="H21" s="103"/>
    </row>
    <row r="22" spans="1:8" ht="19.5" customHeight="1" x14ac:dyDescent="0.3"/>
    <row r="23" spans="1:8" ht="19.5" customHeight="1" x14ac:dyDescent="0.3"/>
    <row r="24" spans="1:8" ht="19.5" customHeight="1" x14ac:dyDescent="0.3">
      <c r="A24" s="78" t="s">
        <v>346</v>
      </c>
      <c r="B24" s="78"/>
      <c r="C24" s="78"/>
      <c r="D24" s="78"/>
      <c r="E24" s="78"/>
      <c r="F24" s="78"/>
      <c r="G24" s="78"/>
      <c r="H24" s="78"/>
    </row>
    <row r="25" spans="1:8" ht="19.5" customHeight="1" x14ac:dyDescent="0.3">
      <c r="A25" s="97" t="s">
        <v>314</v>
      </c>
      <c r="B25" s="97"/>
      <c r="C25" s="97"/>
      <c r="D25" s="97"/>
      <c r="E25" s="98" t="s">
        <v>315</v>
      </c>
      <c r="F25" s="98"/>
      <c r="G25" s="98"/>
      <c r="H25" s="98"/>
    </row>
    <row r="26" spans="1:8" ht="19.5" customHeight="1" x14ac:dyDescent="0.3">
      <c r="A26" s="99" t="s">
        <v>347</v>
      </c>
      <c r="B26" s="99"/>
      <c r="C26" s="99"/>
      <c r="D26" s="99"/>
      <c r="E26" s="100" t="s">
        <v>348</v>
      </c>
      <c r="F26" s="100"/>
      <c r="G26" s="100"/>
      <c r="H26" s="100"/>
    </row>
    <row r="27" spans="1:8" ht="19.5" customHeight="1" x14ac:dyDescent="0.3">
      <c r="A27" s="99" t="s">
        <v>349</v>
      </c>
      <c r="B27" s="99"/>
      <c r="C27" s="99"/>
      <c r="D27" s="99"/>
      <c r="E27" s="100" t="s">
        <v>350</v>
      </c>
      <c r="F27" s="100"/>
      <c r="G27" s="100"/>
      <c r="H27" s="100"/>
    </row>
    <row r="28" spans="1:8" ht="19.5" customHeight="1" x14ac:dyDescent="0.3">
      <c r="A28" s="99" t="s">
        <v>351</v>
      </c>
      <c r="B28" s="99"/>
      <c r="C28" s="99"/>
      <c r="D28" s="99"/>
      <c r="E28" s="100" t="s">
        <v>352</v>
      </c>
      <c r="F28" s="100"/>
      <c r="G28" s="100"/>
      <c r="H28" s="100"/>
    </row>
    <row r="29" spans="1:8" ht="19.5" customHeight="1" x14ac:dyDescent="0.3">
      <c r="A29" s="99" t="s">
        <v>353</v>
      </c>
      <c r="B29" s="99"/>
      <c r="C29" s="99"/>
      <c r="D29" s="99"/>
      <c r="E29" s="100" t="s">
        <v>354</v>
      </c>
      <c r="F29" s="100"/>
      <c r="G29" s="100"/>
      <c r="H29" s="100"/>
    </row>
    <row r="30" spans="1:8" ht="19.5" customHeight="1" x14ac:dyDescent="0.3">
      <c r="A30" s="99" t="s">
        <v>355</v>
      </c>
      <c r="B30" s="99"/>
      <c r="C30" s="99"/>
      <c r="D30" s="99"/>
      <c r="E30" s="100" t="s">
        <v>356</v>
      </c>
      <c r="F30" s="100"/>
      <c r="G30" s="100"/>
      <c r="H30" s="100"/>
    </row>
    <row r="31" spans="1:8" ht="19.5" customHeight="1" x14ac:dyDescent="0.3">
      <c r="A31" s="99" t="s">
        <v>357</v>
      </c>
      <c r="B31" s="99"/>
      <c r="C31" s="99"/>
      <c r="D31" s="99"/>
      <c r="E31" s="100" t="s">
        <v>358</v>
      </c>
      <c r="F31" s="100"/>
      <c r="G31" s="100"/>
      <c r="H31" s="100"/>
    </row>
    <row r="32" spans="1:8" ht="19.5" customHeight="1" x14ac:dyDescent="0.3">
      <c r="A32" s="99" t="s">
        <v>359</v>
      </c>
      <c r="B32" s="99"/>
      <c r="C32" s="99"/>
      <c r="D32" s="99"/>
      <c r="E32" s="100" t="s">
        <v>360</v>
      </c>
      <c r="F32" s="100"/>
      <c r="G32" s="100"/>
      <c r="H32" s="100"/>
    </row>
    <row r="33" spans="1:8" ht="19.5" customHeight="1" x14ac:dyDescent="0.3">
      <c r="A33" s="9" t="s">
        <v>330</v>
      </c>
      <c r="B33" s="9"/>
      <c r="C33" s="9"/>
      <c r="D33" s="9"/>
      <c r="E33" s="101" t="s">
        <v>331</v>
      </c>
      <c r="F33" s="101"/>
      <c r="G33" s="101"/>
      <c r="H33" s="101"/>
    </row>
    <row r="34" spans="1:8" ht="19.5" customHeight="1" x14ac:dyDescent="0.3">
      <c r="A34" s="102" t="s">
        <v>361</v>
      </c>
      <c r="B34" s="102"/>
      <c r="C34" s="102"/>
      <c r="D34" s="102"/>
      <c r="E34" s="103" t="s">
        <v>362</v>
      </c>
      <c r="F34" s="103"/>
      <c r="G34" s="103"/>
      <c r="H34" s="103"/>
    </row>
    <row r="35" spans="1:8" ht="19.5" customHeight="1" x14ac:dyDescent="0.3">
      <c r="A35" s="102" t="s">
        <v>363</v>
      </c>
      <c r="B35" s="102"/>
      <c r="C35" s="102"/>
      <c r="D35" s="102"/>
      <c r="E35" s="103" t="s">
        <v>364</v>
      </c>
      <c r="F35" s="103"/>
      <c r="G35" s="103"/>
      <c r="H35" s="103"/>
    </row>
    <row r="36" spans="1:8" ht="19.5" customHeight="1" x14ac:dyDescent="0.3">
      <c r="A36" s="102" t="s">
        <v>365</v>
      </c>
      <c r="B36" s="102"/>
      <c r="C36" s="102"/>
      <c r="D36" s="102"/>
      <c r="E36" s="103" t="s">
        <v>366</v>
      </c>
      <c r="F36" s="103"/>
      <c r="G36" s="103"/>
      <c r="H36" s="103"/>
    </row>
    <row r="37" spans="1:8" ht="19.5" customHeight="1" x14ac:dyDescent="0.3">
      <c r="A37" s="102" t="s">
        <v>367</v>
      </c>
      <c r="B37" s="102"/>
      <c r="C37" s="102"/>
      <c r="D37" s="102"/>
      <c r="E37" s="103" t="s">
        <v>368</v>
      </c>
      <c r="F37" s="103"/>
      <c r="G37" s="103"/>
      <c r="H37" s="103"/>
    </row>
    <row r="38" spans="1:8" ht="19.5" customHeight="1" x14ac:dyDescent="0.3">
      <c r="A38" s="102" t="s">
        <v>369</v>
      </c>
      <c r="B38" s="102"/>
      <c r="C38" s="102"/>
      <c r="D38" s="102"/>
      <c r="E38" s="103" t="s">
        <v>370</v>
      </c>
      <c r="F38" s="103"/>
      <c r="G38" s="103"/>
      <c r="H38" s="103"/>
    </row>
    <row r="39" spans="1:8" ht="19.5" customHeight="1" x14ac:dyDescent="0.3">
      <c r="A39" s="102" t="s">
        <v>371</v>
      </c>
      <c r="B39" s="102"/>
      <c r="C39" s="102"/>
      <c r="D39" s="102"/>
      <c r="E39" s="103" t="s">
        <v>372</v>
      </c>
      <c r="F39" s="103"/>
      <c r="G39" s="103"/>
      <c r="H39" s="103"/>
    </row>
    <row r="40" spans="1:8" ht="19.5" customHeight="1" x14ac:dyDescent="0.3">
      <c r="A40" s="102" t="s">
        <v>373</v>
      </c>
      <c r="B40" s="102"/>
      <c r="C40" s="102"/>
      <c r="D40" s="102"/>
      <c r="E40" s="103" t="s">
        <v>374</v>
      </c>
      <c r="F40" s="103"/>
      <c r="G40" s="103"/>
      <c r="H40" s="103"/>
    </row>
    <row r="41" spans="1:8" ht="19.5" customHeight="1" x14ac:dyDescent="0.3"/>
    <row r="42" spans="1:8" ht="19.5" customHeight="1" x14ac:dyDescent="0.3"/>
    <row r="43" spans="1:8" ht="19.5" customHeight="1" x14ac:dyDescent="0.3"/>
    <row r="44" spans="1:8" ht="19.5" customHeight="1" x14ac:dyDescent="0.3"/>
    <row r="45" spans="1:8" ht="19.5" customHeight="1" x14ac:dyDescent="0.3"/>
    <row r="46" spans="1:8" ht="19.5" customHeight="1" x14ac:dyDescent="0.3"/>
    <row r="47" spans="1:8" ht="19.5" customHeight="1" x14ac:dyDescent="0.3"/>
    <row r="48" spans="1:8" ht="19.5" customHeight="1" x14ac:dyDescent="0.3"/>
    <row r="49" ht="19.5" customHeight="1" x14ac:dyDescent="0.3"/>
    <row r="50" ht="19.5" customHeight="1" x14ac:dyDescent="0.3"/>
    <row r="51" ht="19.5" customHeight="1" x14ac:dyDescent="0.3"/>
    <row r="52" ht="19.5" customHeight="1" x14ac:dyDescent="0.3"/>
    <row r="53" ht="19.5" customHeight="1" x14ac:dyDescent="0.3"/>
    <row r="54" ht="19.5" customHeight="1" x14ac:dyDescent="0.3"/>
    <row r="55" ht="19.5" customHeight="1" x14ac:dyDescent="0.3"/>
    <row r="56" ht="19.5" customHeight="1" x14ac:dyDescent="0.3"/>
    <row r="57" ht="19.5" customHeight="1" x14ac:dyDescent="0.3"/>
    <row r="58" ht="19.5" customHeight="1" x14ac:dyDescent="0.3"/>
    <row r="59" ht="19.5" customHeight="1" x14ac:dyDescent="0.3"/>
  </sheetData>
  <mergeCells count="67">
    <mergeCell ref="A40:D40"/>
    <mergeCell ref="E40:H40"/>
    <mergeCell ref="A37:D37"/>
    <mergeCell ref="E37:H37"/>
    <mergeCell ref="A38:D38"/>
    <mergeCell ref="E38:H38"/>
    <mergeCell ref="A39:D39"/>
    <mergeCell ref="E39:H39"/>
    <mergeCell ref="A34:D34"/>
    <mergeCell ref="E34:H34"/>
    <mergeCell ref="A35:D35"/>
    <mergeCell ref="E35:H35"/>
    <mergeCell ref="A36:D36"/>
    <mergeCell ref="E36:H36"/>
    <mergeCell ref="A31:D31"/>
    <mergeCell ref="E31:H31"/>
    <mergeCell ref="A32:D32"/>
    <mergeCell ref="E32:H32"/>
    <mergeCell ref="A33:D33"/>
    <mergeCell ref="E33:H33"/>
    <mergeCell ref="A28:D28"/>
    <mergeCell ref="E28:H28"/>
    <mergeCell ref="A29:D29"/>
    <mergeCell ref="E29:H29"/>
    <mergeCell ref="A30:D30"/>
    <mergeCell ref="E30:H30"/>
    <mergeCell ref="A25:D25"/>
    <mergeCell ref="E25:H25"/>
    <mergeCell ref="A26:D26"/>
    <mergeCell ref="E26:H26"/>
    <mergeCell ref="A27:D27"/>
    <mergeCell ref="E27:H27"/>
    <mergeCell ref="A20:D20"/>
    <mergeCell ref="E20:H20"/>
    <mergeCell ref="A21:D21"/>
    <mergeCell ref="E21:H21"/>
    <mergeCell ref="A24:H24"/>
    <mergeCell ref="A17:D17"/>
    <mergeCell ref="E17:H17"/>
    <mergeCell ref="A18:D18"/>
    <mergeCell ref="E18:H18"/>
    <mergeCell ref="A19:D19"/>
    <mergeCell ref="E19:H19"/>
    <mergeCell ref="A14:D14"/>
    <mergeCell ref="E14:H14"/>
    <mergeCell ref="A15:D15"/>
    <mergeCell ref="E15:H15"/>
    <mergeCell ref="A16:D16"/>
    <mergeCell ref="E16:H16"/>
    <mergeCell ref="A8:D8"/>
    <mergeCell ref="E8:H8"/>
    <mergeCell ref="A9:D9"/>
    <mergeCell ref="E9:H9"/>
    <mergeCell ref="A10:D10"/>
    <mergeCell ref="E10:H10"/>
    <mergeCell ref="A5:D5"/>
    <mergeCell ref="E5:H5"/>
    <mergeCell ref="A6:D6"/>
    <mergeCell ref="E6:H6"/>
    <mergeCell ref="A7:D7"/>
    <mergeCell ref="E7:H7"/>
    <mergeCell ref="A1:H1"/>
    <mergeCell ref="A2:H2"/>
    <mergeCell ref="A3:D3"/>
    <mergeCell ref="E3:H3"/>
    <mergeCell ref="A4:D4"/>
    <mergeCell ref="E4:H4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9"/>
  <sheetViews>
    <sheetView showGridLines="0" zoomScaleNormal="100" workbookViewId="0"/>
  </sheetViews>
  <sheetFormatPr defaultColWidth="8.6640625" defaultRowHeight="14.4" x14ac:dyDescent="0.3"/>
  <cols>
    <col min="1" max="9" width="20" customWidth="1"/>
  </cols>
  <sheetData>
    <row r="1" spans="1:9" ht="19.5" customHeight="1" x14ac:dyDescent="0.3">
      <c r="A1" s="76" t="s">
        <v>375</v>
      </c>
      <c r="B1" s="76"/>
      <c r="C1" s="76"/>
      <c r="D1" s="76"/>
      <c r="E1" s="76"/>
      <c r="F1" s="76"/>
      <c r="G1" s="76"/>
      <c r="H1" s="76"/>
      <c r="I1" s="76"/>
    </row>
    <row r="2" spans="1:9" ht="19.5" customHeight="1" x14ac:dyDescent="0.3"/>
    <row r="3" spans="1:9" ht="19.5" customHeight="1" x14ac:dyDescent="0.3">
      <c r="A3" s="77" t="s">
        <v>376</v>
      </c>
      <c r="B3" s="77"/>
      <c r="C3" s="77"/>
      <c r="D3" s="77"/>
      <c r="E3" s="77"/>
      <c r="F3" s="77"/>
      <c r="G3" s="77"/>
      <c r="H3" s="77"/>
      <c r="I3" s="77"/>
    </row>
    <row r="4" spans="1:9" ht="19.5" customHeight="1" x14ac:dyDescent="0.3">
      <c r="A4" s="23" t="s">
        <v>377</v>
      </c>
      <c r="B4" s="23" t="s">
        <v>378</v>
      </c>
      <c r="C4" s="85" t="s">
        <v>379</v>
      </c>
      <c r="D4" s="85"/>
      <c r="E4" s="85"/>
      <c r="F4" s="85"/>
      <c r="G4" s="85"/>
      <c r="H4" s="85"/>
      <c r="I4" s="85"/>
    </row>
    <row r="5" spans="1:9" ht="19.5" customHeight="1" x14ac:dyDescent="0.3">
      <c r="A5" s="63" t="s">
        <v>380</v>
      </c>
      <c r="B5" s="64" t="s">
        <v>381</v>
      </c>
      <c r="C5" s="104" t="s">
        <v>382</v>
      </c>
      <c r="D5" s="104"/>
      <c r="E5" s="104"/>
      <c r="F5" s="104"/>
      <c r="G5" s="104"/>
      <c r="H5" s="104"/>
      <c r="I5" s="104"/>
    </row>
    <row r="6" spans="1:9" ht="19.5" customHeight="1" x14ac:dyDescent="0.3">
      <c r="A6" s="63" t="s">
        <v>380</v>
      </c>
      <c r="B6" s="64" t="s">
        <v>383</v>
      </c>
      <c r="C6" s="104" t="s">
        <v>384</v>
      </c>
      <c r="D6" s="104"/>
      <c r="E6" s="104"/>
      <c r="F6" s="104"/>
      <c r="G6" s="104"/>
      <c r="H6" s="104"/>
      <c r="I6" s="104"/>
    </row>
    <row r="7" spans="1:9" ht="19.5" customHeight="1" x14ac:dyDescent="0.3">
      <c r="A7" s="63" t="s">
        <v>380</v>
      </c>
      <c r="B7" s="64" t="s">
        <v>385</v>
      </c>
      <c r="C7" s="104" t="s">
        <v>386</v>
      </c>
      <c r="D7" s="104"/>
      <c r="E7" s="104"/>
      <c r="F7" s="104"/>
      <c r="G7" s="104"/>
      <c r="H7" s="104"/>
      <c r="I7" s="104"/>
    </row>
    <row r="8" spans="1:9" ht="19.5" customHeight="1" x14ac:dyDescent="0.3">
      <c r="A8" s="63" t="s">
        <v>380</v>
      </c>
      <c r="B8" s="64" t="s">
        <v>387</v>
      </c>
      <c r="C8" s="104" t="s">
        <v>388</v>
      </c>
      <c r="D8" s="104"/>
      <c r="E8" s="104"/>
      <c r="F8" s="104"/>
      <c r="G8" s="104"/>
      <c r="H8" s="104"/>
      <c r="I8" s="104"/>
    </row>
    <row r="9" spans="1:9" ht="19.5" customHeight="1" x14ac:dyDescent="0.3">
      <c r="A9" s="63" t="s">
        <v>380</v>
      </c>
      <c r="B9" s="64" t="s">
        <v>389</v>
      </c>
      <c r="C9" s="104" t="s">
        <v>390</v>
      </c>
      <c r="D9" s="104"/>
      <c r="E9" s="104"/>
      <c r="F9" s="104"/>
      <c r="G9" s="104"/>
      <c r="H9" s="104"/>
      <c r="I9" s="104"/>
    </row>
    <row r="10" spans="1:9" ht="19.5" customHeight="1" x14ac:dyDescent="0.3">
      <c r="A10" s="60" t="s">
        <v>391</v>
      </c>
      <c r="B10" s="65" t="s">
        <v>392</v>
      </c>
      <c r="C10" s="105" t="s">
        <v>393</v>
      </c>
      <c r="D10" s="105"/>
      <c r="E10" s="105"/>
      <c r="F10" s="105"/>
      <c r="G10" s="105"/>
      <c r="H10" s="105"/>
      <c r="I10" s="105"/>
    </row>
    <row r="11" spans="1:9" ht="19.5" customHeight="1" x14ac:dyDescent="0.3">
      <c r="A11" s="60" t="s">
        <v>391</v>
      </c>
      <c r="B11" s="65" t="s">
        <v>394</v>
      </c>
      <c r="C11" s="105" t="s">
        <v>395</v>
      </c>
      <c r="D11" s="105"/>
      <c r="E11" s="105"/>
      <c r="F11" s="105"/>
      <c r="G11" s="105"/>
      <c r="H11" s="105"/>
      <c r="I11" s="105"/>
    </row>
    <row r="12" spans="1:9" ht="19.5" customHeight="1" x14ac:dyDescent="0.3">
      <c r="A12" s="60" t="s">
        <v>391</v>
      </c>
      <c r="B12" s="65" t="s">
        <v>396</v>
      </c>
      <c r="C12" s="105" t="s">
        <v>397</v>
      </c>
      <c r="D12" s="105"/>
      <c r="E12" s="105"/>
      <c r="F12" s="105"/>
      <c r="G12" s="105"/>
      <c r="H12" s="105"/>
      <c r="I12" s="105"/>
    </row>
    <row r="13" spans="1:9" ht="19.5" customHeight="1" x14ac:dyDescent="0.3">
      <c r="A13" s="57" t="s">
        <v>398</v>
      </c>
      <c r="B13" s="66" t="s">
        <v>399</v>
      </c>
      <c r="C13" s="106" t="s">
        <v>400</v>
      </c>
      <c r="D13" s="106"/>
      <c r="E13" s="106"/>
      <c r="F13" s="106"/>
      <c r="G13" s="106"/>
      <c r="H13" s="106"/>
      <c r="I13" s="106"/>
    </row>
    <row r="14" spans="1:9" ht="19.5" customHeight="1" x14ac:dyDescent="0.3">
      <c r="A14" s="57" t="s">
        <v>398</v>
      </c>
      <c r="B14" s="66" t="s">
        <v>401</v>
      </c>
      <c r="C14" s="106" t="s">
        <v>402</v>
      </c>
      <c r="D14" s="106"/>
      <c r="E14" s="106"/>
      <c r="F14" s="106"/>
      <c r="G14" s="106"/>
      <c r="H14" s="106"/>
      <c r="I14" s="106"/>
    </row>
    <row r="15" spans="1:9" ht="19.5" customHeight="1" x14ac:dyDescent="0.3"/>
    <row r="16" spans="1:9" ht="19.5" customHeight="1" x14ac:dyDescent="0.3">
      <c r="A16" s="77" t="s">
        <v>403</v>
      </c>
      <c r="B16" s="77"/>
      <c r="C16" s="77"/>
      <c r="D16" s="77"/>
      <c r="E16" s="77"/>
      <c r="F16" s="77"/>
      <c r="G16" s="77"/>
      <c r="H16" s="77"/>
      <c r="I16" s="77"/>
    </row>
    <row r="17" spans="1:9" ht="19.5" customHeight="1" x14ac:dyDescent="0.3">
      <c r="A17" s="23" t="s">
        <v>404</v>
      </c>
      <c r="B17" s="23" t="s">
        <v>405</v>
      </c>
      <c r="C17" s="23" t="s">
        <v>406</v>
      </c>
      <c r="D17" s="23" t="s">
        <v>407</v>
      </c>
      <c r="E17" s="85" t="s">
        <v>408</v>
      </c>
      <c r="F17" s="85"/>
      <c r="G17" s="85"/>
      <c r="H17" s="85"/>
      <c r="I17" s="85"/>
    </row>
    <row r="18" spans="1:9" ht="19.5" customHeight="1" x14ac:dyDescent="0.3">
      <c r="A18" s="39" t="s">
        <v>409</v>
      </c>
      <c r="B18" s="67" t="s">
        <v>410</v>
      </c>
      <c r="C18" s="40" t="s">
        <v>411</v>
      </c>
      <c r="D18" s="40" t="s">
        <v>412</v>
      </c>
      <c r="E18" s="86" t="s">
        <v>413</v>
      </c>
      <c r="F18" s="86"/>
      <c r="G18" s="86"/>
      <c r="H18" s="86"/>
      <c r="I18" s="86"/>
    </row>
    <row r="19" spans="1:9" ht="19.5" customHeight="1" x14ac:dyDescent="0.3">
      <c r="A19" s="41" t="s">
        <v>414</v>
      </c>
      <c r="B19" s="60" t="s">
        <v>415</v>
      </c>
      <c r="C19" s="42" t="s">
        <v>416</v>
      </c>
      <c r="D19" s="42" t="s">
        <v>417</v>
      </c>
      <c r="E19" s="87" t="s">
        <v>418</v>
      </c>
      <c r="F19" s="87"/>
      <c r="G19" s="87"/>
      <c r="H19" s="87"/>
      <c r="I19" s="87"/>
    </row>
    <row r="20" spans="1:9" ht="19.5" customHeight="1" x14ac:dyDescent="0.3">
      <c r="A20" s="39" t="s">
        <v>419</v>
      </c>
      <c r="B20" s="60" t="s">
        <v>420</v>
      </c>
      <c r="C20" s="40" t="s">
        <v>421</v>
      </c>
      <c r="D20" s="40" t="s">
        <v>422</v>
      </c>
      <c r="E20" s="86" t="s">
        <v>423</v>
      </c>
      <c r="F20" s="86"/>
      <c r="G20" s="86"/>
      <c r="H20" s="86"/>
      <c r="I20" s="86"/>
    </row>
    <row r="21" spans="1:9" ht="19.5" customHeight="1" x14ac:dyDescent="0.3">
      <c r="A21" s="41" t="s">
        <v>424</v>
      </c>
      <c r="B21" s="57" t="s">
        <v>425</v>
      </c>
      <c r="C21" s="42" t="s">
        <v>426</v>
      </c>
      <c r="D21" s="42" t="s">
        <v>427</v>
      </c>
      <c r="E21" s="87" t="s">
        <v>428</v>
      </c>
      <c r="F21" s="87"/>
      <c r="G21" s="87"/>
      <c r="H21" s="87"/>
      <c r="I21" s="87"/>
    </row>
    <row r="22" spans="1:9" ht="19.5" customHeight="1" x14ac:dyDescent="0.3">
      <c r="A22" s="39" t="s">
        <v>429</v>
      </c>
      <c r="B22" s="67" t="s">
        <v>430</v>
      </c>
      <c r="C22" s="40" t="s">
        <v>431</v>
      </c>
      <c r="D22" s="40" t="s">
        <v>432</v>
      </c>
      <c r="E22" s="86" t="s">
        <v>433</v>
      </c>
      <c r="F22" s="86"/>
      <c r="G22" s="86"/>
      <c r="H22" s="86"/>
      <c r="I22" s="86"/>
    </row>
    <row r="23" spans="1:9" ht="19.5" customHeight="1" x14ac:dyDescent="0.3"/>
    <row r="24" spans="1:9" ht="19.5" customHeight="1" x14ac:dyDescent="0.3"/>
    <row r="25" spans="1:9" ht="19.5" customHeight="1" x14ac:dyDescent="0.3">
      <c r="A25" s="78" t="s">
        <v>434</v>
      </c>
      <c r="B25" s="78"/>
      <c r="C25" s="78"/>
      <c r="D25" s="78"/>
      <c r="E25" s="78"/>
      <c r="F25" s="78"/>
      <c r="G25" s="78"/>
      <c r="H25" s="78"/>
      <c r="I25" s="78"/>
    </row>
    <row r="26" spans="1:9" ht="19.5" customHeight="1" x14ac:dyDescent="0.3">
      <c r="A26" s="23" t="s">
        <v>377</v>
      </c>
      <c r="B26" s="23" t="s">
        <v>378</v>
      </c>
      <c r="C26" s="85" t="s">
        <v>379</v>
      </c>
      <c r="D26" s="85"/>
      <c r="E26" s="85"/>
      <c r="F26" s="85"/>
      <c r="G26" s="85"/>
      <c r="H26" s="85"/>
      <c r="I26" s="85"/>
    </row>
    <row r="27" spans="1:9" ht="19.5" customHeight="1" x14ac:dyDescent="0.3">
      <c r="A27" s="63" t="s">
        <v>380</v>
      </c>
      <c r="B27" s="64" t="s">
        <v>435</v>
      </c>
      <c r="C27" s="104" t="s">
        <v>436</v>
      </c>
      <c r="D27" s="104"/>
      <c r="E27" s="104"/>
      <c r="F27" s="104"/>
      <c r="G27" s="104"/>
      <c r="H27" s="104"/>
      <c r="I27" s="104"/>
    </row>
    <row r="28" spans="1:9" ht="19.5" customHeight="1" x14ac:dyDescent="0.3">
      <c r="A28" s="63" t="s">
        <v>380</v>
      </c>
      <c r="B28" s="64" t="s">
        <v>437</v>
      </c>
      <c r="C28" s="104" t="s">
        <v>438</v>
      </c>
      <c r="D28" s="104"/>
      <c r="E28" s="104"/>
      <c r="F28" s="104"/>
      <c r="G28" s="104"/>
      <c r="H28" s="104"/>
      <c r="I28" s="104"/>
    </row>
    <row r="29" spans="1:9" ht="19.5" customHeight="1" x14ac:dyDescent="0.3">
      <c r="A29" s="63" t="s">
        <v>380</v>
      </c>
      <c r="B29" s="64" t="s">
        <v>439</v>
      </c>
      <c r="C29" s="104" t="s">
        <v>440</v>
      </c>
      <c r="D29" s="104"/>
      <c r="E29" s="104"/>
      <c r="F29" s="104"/>
      <c r="G29" s="104"/>
      <c r="H29" s="104"/>
      <c r="I29" s="104"/>
    </row>
    <row r="30" spans="1:9" ht="19.5" customHeight="1" x14ac:dyDescent="0.3">
      <c r="A30" s="63" t="s">
        <v>380</v>
      </c>
      <c r="B30" s="64" t="s">
        <v>441</v>
      </c>
      <c r="C30" s="104" t="s">
        <v>442</v>
      </c>
      <c r="D30" s="104"/>
      <c r="E30" s="104"/>
      <c r="F30" s="104"/>
      <c r="G30" s="104"/>
      <c r="H30" s="104"/>
      <c r="I30" s="104"/>
    </row>
    <row r="31" spans="1:9" ht="19.5" customHeight="1" x14ac:dyDescent="0.3">
      <c r="A31" s="60" t="s">
        <v>391</v>
      </c>
      <c r="B31" s="65" t="s">
        <v>443</v>
      </c>
      <c r="C31" s="105" t="s">
        <v>444</v>
      </c>
      <c r="D31" s="105"/>
      <c r="E31" s="105"/>
      <c r="F31" s="105"/>
      <c r="G31" s="105"/>
      <c r="H31" s="105"/>
      <c r="I31" s="105"/>
    </row>
    <row r="32" spans="1:9" ht="19.5" customHeight="1" x14ac:dyDescent="0.3">
      <c r="A32" s="60" t="s">
        <v>391</v>
      </c>
      <c r="B32" s="65" t="s">
        <v>445</v>
      </c>
      <c r="C32" s="105" t="s">
        <v>446</v>
      </c>
      <c r="D32" s="105"/>
      <c r="E32" s="105"/>
      <c r="F32" s="105"/>
      <c r="G32" s="105"/>
      <c r="H32" s="105"/>
      <c r="I32" s="105"/>
    </row>
    <row r="33" spans="1:9" ht="19.5" customHeight="1" x14ac:dyDescent="0.3">
      <c r="A33" s="60" t="s">
        <v>391</v>
      </c>
      <c r="B33" s="65" t="s">
        <v>447</v>
      </c>
      <c r="C33" s="105" t="s">
        <v>448</v>
      </c>
      <c r="D33" s="105"/>
      <c r="E33" s="105"/>
      <c r="F33" s="105"/>
      <c r="G33" s="105"/>
      <c r="H33" s="105"/>
      <c r="I33" s="105"/>
    </row>
    <row r="34" spans="1:9" ht="19.5" customHeight="1" x14ac:dyDescent="0.3">
      <c r="A34" s="60" t="s">
        <v>391</v>
      </c>
      <c r="B34" s="65" t="s">
        <v>449</v>
      </c>
      <c r="C34" s="105" t="s">
        <v>450</v>
      </c>
      <c r="D34" s="105"/>
      <c r="E34" s="105"/>
      <c r="F34" s="105"/>
      <c r="G34" s="105"/>
      <c r="H34" s="105"/>
      <c r="I34" s="105"/>
    </row>
    <row r="35" spans="1:9" ht="19.5" customHeight="1" x14ac:dyDescent="0.3">
      <c r="A35" s="57" t="s">
        <v>398</v>
      </c>
      <c r="B35" s="66" t="s">
        <v>451</v>
      </c>
      <c r="C35" s="106" t="s">
        <v>452</v>
      </c>
      <c r="D35" s="106"/>
      <c r="E35" s="106"/>
      <c r="F35" s="106"/>
      <c r="G35" s="106"/>
      <c r="H35" s="106"/>
      <c r="I35" s="106"/>
    </row>
    <row r="36" spans="1:9" ht="19.5" customHeight="1" x14ac:dyDescent="0.3">
      <c r="A36" s="57" t="s">
        <v>398</v>
      </c>
      <c r="B36" s="66" t="s">
        <v>453</v>
      </c>
      <c r="C36" s="106" t="s">
        <v>454</v>
      </c>
      <c r="D36" s="106"/>
      <c r="E36" s="106"/>
      <c r="F36" s="106"/>
      <c r="G36" s="106"/>
      <c r="H36" s="106"/>
      <c r="I36" s="106"/>
    </row>
    <row r="37" spans="1:9" ht="19.5" customHeight="1" x14ac:dyDescent="0.3"/>
    <row r="38" spans="1:9" ht="19.5" customHeight="1" x14ac:dyDescent="0.3">
      <c r="A38" s="78" t="s">
        <v>455</v>
      </c>
      <c r="B38" s="78"/>
      <c r="C38" s="78"/>
      <c r="D38" s="78"/>
      <c r="E38" s="78"/>
      <c r="F38" s="78"/>
      <c r="G38" s="78"/>
      <c r="H38" s="78"/>
      <c r="I38" s="78"/>
    </row>
    <row r="39" spans="1:9" ht="19.5" customHeight="1" x14ac:dyDescent="0.3">
      <c r="A39" s="23" t="s">
        <v>404</v>
      </c>
      <c r="B39" s="23" t="s">
        <v>405</v>
      </c>
      <c r="C39" s="23" t="s">
        <v>406</v>
      </c>
      <c r="D39" s="23" t="s">
        <v>407</v>
      </c>
      <c r="E39" s="85" t="s">
        <v>408</v>
      </c>
      <c r="F39" s="85"/>
      <c r="G39" s="85"/>
      <c r="H39" s="85"/>
      <c r="I39" s="85"/>
    </row>
    <row r="40" spans="1:9" ht="19.5" customHeight="1" x14ac:dyDescent="0.3">
      <c r="A40" s="39" t="s">
        <v>456</v>
      </c>
      <c r="B40" s="67" t="s">
        <v>430</v>
      </c>
      <c r="C40" s="40" t="s">
        <v>457</v>
      </c>
      <c r="D40" s="40" t="s">
        <v>458</v>
      </c>
      <c r="E40" s="86" t="s">
        <v>459</v>
      </c>
      <c r="F40" s="86"/>
      <c r="G40" s="86"/>
      <c r="H40" s="86"/>
      <c r="I40" s="86"/>
    </row>
    <row r="41" spans="1:9" ht="19.5" customHeight="1" x14ac:dyDescent="0.3">
      <c r="A41" s="41" t="s">
        <v>419</v>
      </c>
      <c r="B41" s="60" t="s">
        <v>415</v>
      </c>
      <c r="C41" s="42" t="s">
        <v>460</v>
      </c>
      <c r="D41" s="42" t="s">
        <v>461</v>
      </c>
      <c r="E41" s="87" t="s">
        <v>462</v>
      </c>
      <c r="F41" s="87"/>
      <c r="G41" s="87"/>
      <c r="H41" s="87"/>
      <c r="I41" s="87"/>
    </row>
    <row r="42" spans="1:9" ht="19.5" customHeight="1" x14ac:dyDescent="0.3">
      <c r="A42" s="39" t="s">
        <v>409</v>
      </c>
      <c r="B42" s="67" t="s">
        <v>410</v>
      </c>
      <c r="C42" s="40" t="s">
        <v>463</v>
      </c>
      <c r="D42" s="40" t="s">
        <v>464</v>
      </c>
      <c r="E42" s="86" t="s">
        <v>465</v>
      </c>
      <c r="F42" s="86"/>
      <c r="G42" s="86"/>
      <c r="H42" s="86"/>
      <c r="I42" s="86"/>
    </row>
    <row r="43" spans="1:9" ht="19.5" customHeight="1" x14ac:dyDescent="0.3">
      <c r="A43" s="41" t="s">
        <v>466</v>
      </c>
      <c r="B43" s="60" t="s">
        <v>420</v>
      </c>
      <c r="C43" s="42" t="s">
        <v>467</v>
      </c>
      <c r="D43" s="42" t="s">
        <v>468</v>
      </c>
      <c r="E43" s="87" t="s">
        <v>469</v>
      </c>
      <c r="F43" s="87"/>
      <c r="G43" s="87"/>
      <c r="H43" s="87"/>
      <c r="I43" s="87"/>
    </row>
    <row r="44" spans="1:9" ht="19.5" customHeight="1" x14ac:dyDescent="0.3">
      <c r="A44" s="39" t="s">
        <v>424</v>
      </c>
      <c r="B44" s="60" t="s">
        <v>420</v>
      </c>
      <c r="C44" s="40" t="s">
        <v>470</v>
      </c>
      <c r="D44" s="40" t="s">
        <v>471</v>
      </c>
      <c r="E44" s="86" t="s">
        <v>472</v>
      </c>
      <c r="F44" s="86"/>
      <c r="G44" s="86"/>
      <c r="H44" s="86"/>
      <c r="I44" s="86"/>
    </row>
    <row r="45" spans="1:9" ht="19.5" customHeight="1" x14ac:dyDescent="0.3"/>
    <row r="46" spans="1:9" ht="19.5" customHeight="1" x14ac:dyDescent="0.3"/>
    <row r="47" spans="1:9" ht="19.5" customHeight="1" x14ac:dyDescent="0.3"/>
    <row r="48" spans="1:9" ht="19.5" customHeight="1" x14ac:dyDescent="0.3"/>
    <row r="49" ht="19.5" customHeight="1" x14ac:dyDescent="0.3"/>
    <row r="50" ht="19.5" customHeight="1" x14ac:dyDescent="0.3"/>
    <row r="51" ht="19.5" customHeight="1" x14ac:dyDescent="0.3"/>
    <row r="52" ht="19.5" customHeight="1" x14ac:dyDescent="0.3"/>
    <row r="53" ht="19.5" customHeight="1" x14ac:dyDescent="0.3"/>
    <row r="54" ht="19.5" customHeight="1" x14ac:dyDescent="0.3"/>
    <row r="55" ht="19.5" customHeight="1" x14ac:dyDescent="0.3"/>
    <row r="56" ht="19.5" customHeight="1" x14ac:dyDescent="0.3"/>
    <row r="57" ht="19.5" customHeight="1" x14ac:dyDescent="0.3"/>
    <row r="58" ht="19.5" customHeight="1" x14ac:dyDescent="0.3"/>
    <row r="59" ht="19.5" customHeight="1" x14ac:dyDescent="0.3"/>
  </sheetData>
  <mergeCells count="39">
    <mergeCell ref="E41:I41"/>
    <mergeCell ref="E42:I42"/>
    <mergeCell ref="E43:I43"/>
    <mergeCell ref="E44:I44"/>
    <mergeCell ref="C35:I35"/>
    <mergeCell ref="C36:I36"/>
    <mergeCell ref="A38:I38"/>
    <mergeCell ref="E39:I39"/>
    <mergeCell ref="E40:I40"/>
    <mergeCell ref="C30:I30"/>
    <mergeCell ref="C31:I31"/>
    <mergeCell ref="C32:I32"/>
    <mergeCell ref="C33:I33"/>
    <mergeCell ref="C34:I34"/>
    <mergeCell ref="A25:I25"/>
    <mergeCell ref="C26:I26"/>
    <mergeCell ref="C27:I27"/>
    <mergeCell ref="C28:I28"/>
    <mergeCell ref="C29:I29"/>
    <mergeCell ref="E18:I18"/>
    <mergeCell ref="E19:I19"/>
    <mergeCell ref="E20:I20"/>
    <mergeCell ref="E21:I21"/>
    <mergeCell ref="E22:I22"/>
    <mergeCell ref="C12:I12"/>
    <mergeCell ref="C13:I13"/>
    <mergeCell ref="C14:I14"/>
    <mergeCell ref="A16:I16"/>
    <mergeCell ref="E17:I17"/>
    <mergeCell ref="C7:I7"/>
    <mergeCell ref="C8:I8"/>
    <mergeCell ref="C9:I9"/>
    <mergeCell ref="C10:I10"/>
    <mergeCell ref="C11:I11"/>
    <mergeCell ref="A1:I1"/>
    <mergeCell ref="A3:I3"/>
    <mergeCell ref="C4:I4"/>
    <mergeCell ref="C5:I5"/>
    <mergeCell ref="C6:I6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99"/>
  <sheetViews>
    <sheetView showGridLines="0" zoomScaleNormal="100" workbookViewId="0"/>
  </sheetViews>
  <sheetFormatPr defaultColWidth="8.6640625" defaultRowHeight="14.4" x14ac:dyDescent="0.3"/>
  <cols>
    <col min="1" max="39" width="10" customWidth="1"/>
  </cols>
  <sheetData>
    <row r="1" spans="1:36" ht="19.5" customHeight="1" x14ac:dyDescent="0.3">
      <c r="A1" s="76" t="s">
        <v>473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</row>
    <row r="2" spans="1:36" ht="19.5" customHeight="1" x14ac:dyDescent="0.3"/>
    <row r="3" spans="1:36" ht="19.5" customHeight="1" x14ac:dyDescent="0.3">
      <c r="A3" s="68" t="s">
        <v>474</v>
      </c>
      <c r="B3" s="68" t="s">
        <v>147</v>
      </c>
      <c r="C3" s="68" t="s">
        <v>148</v>
      </c>
      <c r="D3" s="68" t="s">
        <v>149</v>
      </c>
    </row>
    <row r="4" spans="1:36" ht="19.5" customHeight="1" x14ac:dyDescent="0.3">
      <c r="A4" s="69" t="s">
        <v>475</v>
      </c>
      <c r="B4" s="70">
        <v>278454</v>
      </c>
      <c r="C4" s="70">
        <v>345967</v>
      </c>
      <c r="D4" s="70">
        <v>437928</v>
      </c>
    </row>
    <row r="5" spans="1:36" ht="19.5" customHeight="1" x14ac:dyDescent="0.3">
      <c r="A5" s="69" t="s">
        <v>476</v>
      </c>
      <c r="B5" s="70">
        <v>75687</v>
      </c>
      <c r="C5" s="70">
        <v>82451</v>
      </c>
      <c r="D5" s="70">
        <v>89540</v>
      </c>
    </row>
    <row r="6" spans="1:36" ht="19.5" customHeight="1" x14ac:dyDescent="0.3"/>
    <row r="7" spans="1:36" ht="19.5" customHeight="1" x14ac:dyDescent="0.3"/>
    <row r="8" spans="1:36" ht="19.5" customHeight="1" x14ac:dyDescent="0.3">
      <c r="A8" s="68" t="s">
        <v>131</v>
      </c>
      <c r="B8" s="68" t="s">
        <v>147</v>
      </c>
      <c r="C8" s="68" t="s">
        <v>148</v>
      </c>
      <c r="D8" s="68" t="s">
        <v>149</v>
      </c>
    </row>
    <row r="9" spans="1:36" ht="19.5" customHeight="1" x14ac:dyDescent="0.3">
      <c r="A9" s="69" t="s">
        <v>475</v>
      </c>
      <c r="B9" s="71">
        <v>-11309</v>
      </c>
      <c r="C9" s="71">
        <v>2690</v>
      </c>
      <c r="D9" s="71">
        <v>31807</v>
      </c>
    </row>
    <row r="10" spans="1:36" ht="19.5" customHeight="1" x14ac:dyDescent="0.3">
      <c r="A10" s="69" t="s">
        <v>476</v>
      </c>
      <c r="B10" s="71">
        <v>754</v>
      </c>
      <c r="C10" s="71">
        <v>811</v>
      </c>
      <c r="D10" s="71">
        <v>852</v>
      </c>
    </row>
    <row r="11" spans="1:36" ht="19.5" customHeight="1" x14ac:dyDescent="0.3"/>
    <row r="12" spans="1:36" ht="19.5" customHeight="1" x14ac:dyDescent="0.3"/>
    <row r="13" spans="1:36" ht="19.5" customHeight="1" x14ac:dyDescent="0.3">
      <c r="A13" s="68" t="s">
        <v>477</v>
      </c>
      <c r="B13" s="68" t="s">
        <v>478</v>
      </c>
      <c r="C13" s="68" t="s">
        <v>479</v>
      </c>
      <c r="D13" s="68" t="s">
        <v>480</v>
      </c>
      <c r="E13" s="68" t="s">
        <v>481</v>
      </c>
      <c r="F13" s="68" t="s">
        <v>482</v>
      </c>
      <c r="G13" s="68" t="s">
        <v>483</v>
      </c>
    </row>
    <row r="14" spans="1:36" ht="19.5" customHeight="1" x14ac:dyDescent="0.3">
      <c r="A14" s="50" t="s">
        <v>484</v>
      </c>
      <c r="B14" s="50">
        <v>433.6</v>
      </c>
      <c r="C14" s="50">
        <v>438.1</v>
      </c>
      <c r="D14" s="50">
        <v>442</v>
      </c>
      <c r="E14" s="50">
        <v>439.1</v>
      </c>
      <c r="F14" s="50">
        <v>444.5</v>
      </c>
      <c r="G14" s="50">
        <v>439.1</v>
      </c>
    </row>
    <row r="15" spans="1:36" ht="19.5" customHeight="1" x14ac:dyDescent="0.3">
      <c r="A15" s="50" t="s">
        <v>485</v>
      </c>
      <c r="B15" s="50">
        <v>540</v>
      </c>
      <c r="C15" s="50">
        <v>566</v>
      </c>
      <c r="D15" s="50">
        <v>562</v>
      </c>
      <c r="E15" s="50">
        <v>560</v>
      </c>
      <c r="F15" s="50">
        <v>562</v>
      </c>
      <c r="G15" s="50">
        <v>562</v>
      </c>
    </row>
    <row r="16" spans="1:36" ht="19.5" customHeight="1" x14ac:dyDescent="0.3"/>
    <row r="17" spans="1:4" ht="19.5" customHeight="1" x14ac:dyDescent="0.3"/>
    <row r="18" spans="1:4" ht="19.5" customHeight="1" x14ac:dyDescent="0.3">
      <c r="A18" s="68" t="s">
        <v>486</v>
      </c>
      <c r="B18" s="68" t="s">
        <v>147</v>
      </c>
      <c r="C18" s="68" t="s">
        <v>148</v>
      </c>
      <c r="D18" s="68" t="s">
        <v>149</v>
      </c>
    </row>
    <row r="19" spans="1:4" ht="19.5" customHeight="1" x14ac:dyDescent="0.3">
      <c r="A19" s="69" t="s">
        <v>475</v>
      </c>
      <c r="B19" s="72">
        <v>2.1</v>
      </c>
      <c r="C19" s="72">
        <v>1.8</v>
      </c>
      <c r="D19" s="72">
        <v>1.4</v>
      </c>
    </row>
    <row r="20" spans="1:4" ht="19.5" customHeight="1" x14ac:dyDescent="0.3">
      <c r="A20" s="69" t="s">
        <v>476</v>
      </c>
      <c r="B20" s="72">
        <v>0.22</v>
      </c>
      <c r="C20" s="72">
        <v>0.2</v>
      </c>
      <c r="D20" s="72">
        <v>0.19</v>
      </c>
    </row>
    <row r="21" spans="1:4" ht="19.5" customHeight="1" x14ac:dyDescent="0.3"/>
    <row r="22" spans="1:4" ht="19.5" customHeight="1" x14ac:dyDescent="0.3"/>
    <row r="23" spans="1:4" ht="19.5" customHeight="1" x14ac:dyDescent="0.3">
      <c r="A23" s="68" t="s">
        <v>487</v>
      </c>
      <c r="B23" s="68" t="s">
        <v>147</v>
      </c>
      <c r="C23" s="68" t="s">
        <v>148</v>
      </c>
      <c r="D23" s="68" t="s">
        <v>149</v>
      </c>
    </row>
    <row r="24" spans="1:4" ht="19.5" customHeight="1" x14ac:dyDescent="0.3">
      <c r="A24" s="69" t="s">
        <v>475</v>
      </c>
      <c r="B24">
        <v>-4.0599999999999996</v>
      </c>
      <c r="C24">
        <v>0.78</v>
      </c>
      <c r="D24">
        <v>7.26</v>
      </c>
    </row>
    <row r="25" spans="1:4" ht="19.5" customHeight="1" x14ac:dyDescent="0.3">
      <c r="A25" s="69" t="s">
        <v>476</v>
      </c>
      <c r="B25">
        <v>0.99</v>
      </c>
      <c r="C25">
        <v>0.98</v>
      </c>
      <c r="D25">
        <v>0.95</v>
      </c>
    </row>
    <row r="26" spans="1:4" ht="19.5" customHeight="1" x14ac:dyDescent="0.3"/>
    <row r="27" spans="1:4" ht="19.5" customHeight="1" x14ac:dyDescent="0.3"/>
    <row r="28" spans="1:4" ht="19.5" customHeight="1" x14ac:dyDescent="0.3">
      <c r="A28" s="9" t="s">
        <v>488</v>
      </c>
      <c r="B28" s="9"/>
      <c r="C28" s="9"/>
      <c r="D28" s="9"/>
    </row>
    <row r="29" spans="1:4" ht="19.5" customHeight="1" x14ac:dyDescent="0.3">
      <c r="A29" s="48" t="s">
        <v>489</v>
      </c>
      <c r="B29" s="48" t="s">
        <v>490</v>
      </c>
      <c r="C29" s="48" t="s">
        <v>491</v>
      </c>
      <c r="D29" s="48" t="s">
        <v>492</v>
      </c>
    </row>
    <row r="30" spans="1:4" ht="19.5" customHeight="1" x14ac:dyDescent="0.3">
      <c r="A30" s="34" t="s">
        <v>475</v>
      </c>
      <c r="B30" s="73">
        <v>84</v>
      </c>
      <c r="C30" s="74" t="s">
        <v>493</v>
      </c>
      <c r="D30" s="34" t="s">
        <v>494</v>
      </c>
    </row>
    <row r="31" spans="1:4" ht="19.5" customHeight="1" x14ac:dyDescent="0.3">
      <c r="A31" s="33" t="s">
        <v>476</v>
      </c>
      <c r="B31">
        <v>89</v>
      </c>
      <c r="C31" s="75" t="s">
        <v>493</v>
      </c>
      <c r="D31" s="33" t="s">
        <v>495</v>
      </c>
    </row>
    <row r="32" spans="1:4" ht="19.5" customHeight="1" x14ac:dyDescent="0.3"/>
    <row r="33" ht="19.5" customHeight="1" x14ac:dyDescent="0.3"/>
    <row r="34" ht="19.5" customHeight="1" x14ac:dyDescent="0.3"/>
    <row r="35" ht="19.5" customHeight="1" x14ac:dyDescent="0.3"/>
    <row r="36" ht="19.5" customHeight="1" x14ac:dyDescent="0.3"/>
    <row r="37" ht="19.5" customHeight="1" x14ac:dyDescent="0.3"/>
    <row r="38" ht="19.5" customHeight="1" x14ac:dyDescent="0.3"/>
    <row r="39" ht="19.5" customHeight="1" x14ac:dyDescent="0.3"/>
    <row r="40" ht="19.5" customHeight="1" x14ac:dyDescent="0.3"/>
    <row r="41" ht="19.5" customHeight="1" x14ac:dyDescent="0.3"/>
    <row r="42" ht="19.5" customHeight="1" x14ac:dyDescent="0.3"/>
    <row r="43" ht="19.5" customHeight="1" x14ac:dyDescent="0.3"/>
    <row r="44" ht="19.5" customHeight="1" x14ac:dyDescent="0.3"/>
    <row r="45" ht="19.5" customHeight="1" x14ac:dyDescent="0.3"/>
    <row r="46" ht="19.5" customHeight="1" x14ac:dyDescent="0.3"/>
    <row r="47" ht="19.5" customHeight="1" x14ac:dyDescent="0.3"/>
    <row r="48" ht="19.5" customHeight="1" x14ac:dyDescent="0.3"/>
    <row r="49" ht="19.5" customHeight="1" x14ac:dyDescent="0.3"/>
    <row r="50" ht="19.5" customHeight="1" x14ac:dyDescent="0.3"/>
    <row r="51" ht="19.5" customHeight="1" x14ac:dyDescent="0.3"/>
    <row r="52" ht="19.5" customHeight="1" x14ac:dyDescent="0.3"/>
    <row r="53" ht="19.5" customHeight="1" x14ac:dyDescent="0.3"/>
    <row r="54" ht="19.5" customHeight="1" x14ac:dyDescent="0.3"/>
    <row r="55" ht="19.5" customHeight="1" x14ac:dyDescent="0.3"/>
    <row r="56" ht="19.5" customHeight="1" x14ac:dyDescent="0.3"/>
    <row r="57" ht="19.5" customHeight="1" x14ac:dyDescent="0.3"/>
    <row r="58" ht="19.5" customHeight="1" x14ac:dyDescent="0.3"/>
    <row r="59" ht="19.5" customHeight="1" x14ac:dyDescent="0.3"/>
    <row r="60" ht="15" customHeight="1" x14ac:dyDescent="0.3"/>
    <row r="61" ht="15" customHeight="1" x14ac:dyDescent="0.3"/>
    <row r="62" ht="15" customHeight="1" x14ac:dyDescent="0.3"/>
    <row r="63" ht="15" customHeight="1" x14ac:dyDescent="0.3"/>
    <row r="64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  <row r="69" ht="15" customHeight="1" x14ac:dyDescent="0.3"/>
    <row r="70" ht="15" customHeight="1" x14ac:dyDescent="0.3"/>
    <row r="71" ht="15" customHeight="1" x14ac:dyDescent="0.3"/>
    <row r="72" ht="15" customHeight="1" x14ac:dyDescent="0.3"/>
    <row r="73" ht="15" customHeight="1" x14ac:dyDescent="0.3"/>
    <row r="74" ht="15" customHeight="1" x14ac:dyDescent="0.3"/>
    <row r="75" ht="15" customHeight="1" x14ac:dyDescent="0.3"/>
    <row r="76" ht="15" customHeight="1" x14ac:dyDescent="0.3"/>
    <row r="77" ht="15" customHeight="1" x14ac:dyDescent="0.3"/>
    <row r="78" ht="15" customHeight="1" x14ac:dyDescent="0.3"/>
    <row r="79" ht="15" customHeight="1" x14ac:dyDescent="0.3"/>
    <row r="80" ht="15" customHeight="1" x14ac:dyDescent="0.3"/>
    <row r="81" ht="15" customHeight="1" x14ac:dyDescent="0.3"/>
    <row r="82" ht="15" customHeight="1" x14ac:dyDescent="0.3"/>
    <row r="83" ht="15" customHeight="1" x14ac:dyDescent="0.3"/>
    <row r="84" ht="15" customHeight="1" x14ac:dyDescent="0.3"/>
    <row r="85" ht="15" customHeight="1" x14ac:dyDescent="0.3"/>
    <row r="86" ht="15" customHeight="1" x14ac:dyDescent="0.3"/>
    <row r="87" ht="15" customHeight="1" x14ac:dyDescent="0.3"/>
    <row r="88" ht="15" customHeight="1" x14ac:dyDescent="0.3"/>
    <row r="89" ht="15" customHeight="1" x14ac:dyDescent="0.3"/>
    <row r="90" ht="15" customHeight="1" x14ac:dyDescent="0.3"/>
    <row r="91" ht="15" customHeight="1" x14ac:dyDescent="0.3"/>
    <row r="92" ht="15" customHeight="1" x14ac:dyDescent="0.3"/>
    <row r="93" ht="15" customHeight="1" x14ac:dyDescent="0.3"/>
    <row r="94" ht="15" customHeight="1" x14ac:dyDescent="0.3"/>
    <row r="95" ht="15" customHeight="1" x14ac:dyDescent="0.3"/>
    <row r="96" ht="15" customHeight="1" x14ac:dyDescent="0.3"/>
    <row r="97" ht="15" customHeight="1" x14ac:dyDescent="0.3"/>
    <row r="98" ht="15" customHeight="1" x14ac:dyDescent="0.3"/>
    <row r="99" ht="15" customHeight="1" x14ac:dyDescent="0.3"/>
  </sheetData>
  <mergeCells count="2">
    <mergeCell ref="A1:AJ1"/>
    <mergeCell ref="A28:D2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📋 Cover Page</vt:lpstr>
      <vt:lpstr>📈 Weekly Stock Performance</vt:lpstr>
      <vt:lpstr>📊 3-Year Financial Data</vt:lpstr>
      <vt:lpstr>🔢 Ratio Analysis</vt:lpstr>
      <vt:lpstr>⚖️ Comparative Analysis</vt:lpstr>
      <vt:lpstr>🔍 SWOT Analysis</vt:lpstr>
      <vt:lpstr>🔮 Future Aspects</vt:lpstr>
      <vt:lpstr>📉 Charts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Siddharth Singh</cp:lastModifiedBy>
  <cp:revision>1</cp:revision>
  <dcterms:created xsi:type="dcterms:W3CDTF">2026-04-21T15:40:07Z</dcterms:created>
  <dcterms:modified xsi:type="dcterms:W3CDTF">2026-04-23T19:32:55Z</dcterms:modified>
  <dc:language>en-US</dc:language>
</cp:coreProperties>
</file>